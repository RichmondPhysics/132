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autoCompressPictures="0"/>
  <mc:AlternateContent xmlns:mc="http://schemas.openxmlformats.org/markup-compatibility/2006">
    <mc:Choice Requires="x15">
      <x15ac:absPath xmlns:x15ac="http://schemas.microsoft.com/office/spreadsheetml/2010/11/ac" url="C:\Users\mtrawick\Desktop\github\132\StudentGuideModule2\what_labs_to_include\"/>
    </mc:Choice>
  </mc:AlternateContent>
  <xr:revisionPtr revIDLastSave="0" documentId="13_ncr:1_{007ABD95-A371-4920-A1C3-626C4868C1F5}" xr6:coauthVersionLast="36" xr6:coauthVersionMax="36" xr10:uidLastSave="{00000000-0000-0000-0000-000000000000}"/>
  <bookViews>
    <workbookView xWindow="18780" yWindow="5136" windowWidth="26616" windowHeight="15936" tabRatio="541" xr2:uid="{00000000-000D-0000-FFFF-FFFF00000000}"/>
  </bookViews>
  <sheets>
    <sheet name="lablist" sheetId="1" r:id="rId1"/>
    <sheet name="Sheet1" sheetId="2" r:id="rId2"/>
  </sheet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U27" i="1" l="1"/>
  <c r="U28" i="1"/>
  <c r="U29" i="1"/>
  <c r="U30" i="1"/>
  <c r="U31" i="1"/>
  <c r="U32" i="1"/>
  <c r="U33" i="1"/>
  <c r="U34" i="1"/>
  <c r="U26" i="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2" i="1"/>
  <c r="F60" i="1" l="1"/>
  <c r="F62" i="1" l="1"/>
  <c r="F26" i="1" l="1"/>
  <c r="F81" i="1" l="1"/>
  <c r="F49" i="1" l="1"/>
  <c r="F47" i="1"/>
  <c r="F78" i="1" l="1"/>
  <c r="F15" i="1"/>
  <c r="F14" i="1"/>
  <c r="F13" i="1"/>
  <c r="F12" i="1"/>
  <c r="F50" i="1"/>
  <c r="F3" i="1"/>
  <c r="F4" i="1"/>
  <c r="F5" i="1"/>
  <c r="F6" i="1"/>
  <c r="F7" i="1"/>
  <c r="F8" i="1"/>
  <c r="F9" i="1"/>
  <c r="F10" i="1"/>
  <c r="F11" i="1"/>
  <c r="F16" i="1"/>
  <c r="F17" i="1"/>
  <c r="F18" i="1"/>
  <c r="F19" i="1"/>
  <c r="F20" i="1"/>
  <c r="F21" i="1"/>
  <c r="F22" i="1"/>
  <c r="F23" i="1"/>
  <c r="F24" i="1"/>
  <c r="F25" i="1"/>
  <c r="F27" i="1"/>
  <c r="F28" i="1"/>
  <c r="F29" i="1"/>
  <c r="F30" i="1"/>
  <c r="F31" i="1"/>
  <c r="F32" i="1"/>
  <c r="F33" i="1"/>
  <c r="F34" i="1"/>
  <c r="F35" i="1"/>
  <c r="F36" i="1"/>
  <c r="F37" i="1"/>
  <c r="F38" i="1"/>
  <c r="F39" i="1"/>
  <c r="F40" i="1"/>
  <c r="F41" i="1"/>
  <c r="F42" i="1"/>
  <c r="F43" i="1"/>
  <c r="F44" i="1"/>
  <c r="F45" i="1"/>
  <c r="F46" i="1"/>
  <c r="F48" i="1"/>
  <c r="F51" i="1"/>
  <c r="F52" i="1"/>
  <c r="F53" i="1"/>
  <c r="F54" i="1"/>
  <c r="F55" i="1"/>
  <c r="F56" i="1"/>
  <c r="F57" i="1"/>
  <c r="F58" i="1"/>
  <c r="F59" i="1"/>
  <c r="F61" i="1"/>
  <c r="F63" i="1"/>
  <c r="F64" i="1"/>
  <c r="F65" i="1"/>
  <c r="F66" i="1"/>
  <c r="F67" i="1"/>
  <c r="F68" i="1"/>
  <c r="F69" i="1"/>
  <c r="F70" i="1"/>
  <c r="F71" i="1"/>
  <c r="F72" i="1"/>
  <c r="F73" i="1"/>
  <c r="F74" i="1"/>
  <c r="F75" i="1"/>
  <c r="F76" i="1"/>
  <c r="F77" i="1"/>
  <c r="F79" i="1"/>
  <c r="F80" i="1"/>
  <c r="F82" i="1"/>
  <c r="F83" i="1"/>
  <c r="F84" i="1"/>
  <c r="F85" i="1"/>
  <c r="F2" i="1"/>
  <c r="M87" i="1" l="1" a="1"/>
  <c r="M87" i="1" s="1"/>
  <c r="M89" i="1" a="1"/>
  <c r="M89" i="1" s="1"/>
  <c r="M88" i="1" a="1"/>
  <c r="M88" i="1" s="1"/>
  <c r="M92" i="1" a="1"/>
  <c r="M92" i="1" s="1"/>
  <c r="N88" i="1" a="1"/>
  <c r="N88" i="1" s="1"/>
  <c r="O92" i="1" a="1"/>
  <c r="O92" i="1" s="1"/>
  <c r="N92" i="1" a="1"/>
  <c r="N92" i="1" s="1"/>
  <c r="O87" i="1" a="1"/>
  <c r="O87" i="1" s="1"/>
  <c r="N87" i="1" a="1"/>
  <c r="N87" i="1" s="1"/>
  <c r="O89" i="1" a="1"/>
  <c r="O89" i="1" s="1"/>
  <c r="N89" i="1" a="1"/>
  <c r="N89" i="1" s="1"/>
  <c r="O88" i="1" a="1"/>
  <c r="O88" i="1" s="1"/>
  <c r="V33" i="1"/>
  <c r="W33" i="1" s="1"/>
  <c r="V30" i="1"/>
  <c r="W30" i="1" s="1"/>
  <c r="V27" i="1"/>
  <c r="W27" i="1" s="1"/>
  <c r="V32" i="1"/>
  <c r="W32" i="1" s="1"/>
  <c r="V31" i="1"/>
  <c r="W31" i="1" s="1"/>
  <c r="V34" i="1"/>
  <c r="W34" i="1" s="1"/>
  <c r="V29" i="1"/>
  <c r="W29" i="1" s="1"/>
  <c r="V28" i="1"/>
  <c r="W28" i="1" s="1"/>
  <c r="M90" i="1"/>
  <c r="M91" i="1" s="1"/>
  <c r="V26" i="1"/>
  <c r="W26" i="1" s="1"/>
  <c r="O90" i="1"/>
  <c r="O91" i="1" s="1"/>
  <c r="N90" i="1"/>
  <c r="N9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Trawick</author>
  </authors>
  <commentList>
    <comment ref="C1" authorId="0" shapeId="0" xr:uid="{00000000-0006-0000-0000-000001000000}">
      <text>
        <r>
          <rPr>
            <b/>
            <sz val="9"/>
            <color indexed="81"/>
            <rFont val="Tahoma"/>
            <family val="2"/>
          </rPr>
          <t>Matt Trawick:</t>
        </r>
        <r>
          <rPr>
            <sz val="9"/>
            <color indexed="81"/>
            <rFont val="Tahoma"/>
            <family val="2"/>
          </rPr>
          <t xml:space="preserve">
E: experimental
S: simulation (uses software for visualization)
T: theory (essentially a "worksheet" deriving a result or solving example problems)</t>
        </r>
      </text>
    </comment>
    <comment ref="F1" authorId="0" shapeId="0" xr:uid="{00000000-0006-0000-0000-000002000000}">
      <text>
        <r>
          <rPr>
            <b/>
            <sz val="9"/>
            <color indexed="81"/>
            <rFont val="Tahoma"/>
            <family val="2"/>
          </rPr>
          <t>Matt Trawick:</t>
        </r>
        <r>
          <rPr>
            <sz val="9"/>
            <color indexed="81"/>
            <rFont val="Tahoma"/>
            <family val="2"/>
          </rPr>
          <t xml:space="preserve">
when all labs start on odd page numbers, page count rounded up to even number.</t>
        </r>
      </text>
    </comment>
    <comment ref="Q1" authorId="0" shapeId="0" xr:uid="{00000000-0006-0000-0000-000003000000}">
      <text>
        <r>
          <rPr>
            <b/>
            <sz val="9"/>
            <color indexed="81"/>
            <rFont val="Tahoma"/>
            <family val="2"/>
          </rPr>
          <t>Matt Trawick:</t>
        </r>
        <r>
          <rPr>
            <sz val="9"/>
            <color indexed="81"/>
            <rFont val="Tahoma"/>
            <family val="2"/>
          </rPr>
          <t xml:space="preserve">
The "Editor" (Me in the past, hopefully Barti in the future) can decide to overrule the popular vote: (a) for obvious stuff like the title page (b) for appendices that are required for particular labs, or (c) for new labs that haven't had a good look by everyone yet.</t>
        </r>
      </text>
    </comment>
    <comment ref="T1" authorId="0" shapeId="0" xr:uid="{00000000-0006-0000-0000-000004000000}">
      <text>
        <r>
          <rPr>
            <b/>
            <sz val="9"/>
            <color indexed="81"/>
            <rFont val="Tahoma"/>
            <family val="2"/>
          </rPr>
          <t>Matt Trawick:</t>
        </r>
        <r>
          <rPr>
            <sz val="9"/>
            <color indexed="81"/>
            <rFont val="Tahoma"/>
            <family val="2"/>
          </rPr>
          <t xml:space="preserve">
In the table on the left:
Write "1" if you will use the lab.  
Leave blank or write "0" if you will not use the lab.  
Write "0.5" for maybe, or any other probability between 0 and 1 for "probably yes" or "probably no".</t>
        </r>
      </text>
    </comment>
    <comment ref="J7" authorId="0" shapeId="0" xr:uid="{00000000-0006-0000-0000-000005000000}">
      <text>
        <r>
          <rPr>
            <b/>
            <sz val="9"/>
            <color indexed="81"/>
            <rFont val="Tahoma"/>
            <family val="2"/>
          </rPr>
          <t>Matt Trawick:</t>
        </r>
        <r>
          <rPr>
            <sz val="9"/>
            <color indexed="81"/>
            <rFont val="Tahoma"/>
            <family val="2"/>
          </rPr>
          <t xml:space="preserve">
This lab is definitely on a tangential topic, but it is fun and only takes about 15 minutes.  
I also personally like it because I'm a former musician, and this makes a nice connection with some of my students.  
That said, I can totally understand why others might not want to do this lab.</t>
        </r>
      </text>
    </comment>
    <comment ref="J8" authorId="0" shapeId="0" xr:uid="{00000000-0006-0000-0000-000006000000}">
      <text>
        <r>
          <rPr>
            <b/>
            <sz val="9"/>
            <color indexed="81"/>
            <rFont val="Tahoma"/>
            <family val="2"/>
          </rPr>
          <t>Matt Trawick:</t>
        </r>
        <r>
          <rPr>
            <sz val="9"/>
            <color indexed="81"/>
            <rFont val="Tahoma"/>
            <family val="2"/>
          </rPr>
          <t xml:space="preserve">
I think Ted's new version is clearly better than what it replaces.  I'm still on the fence about using a write-up here, though.
In the past, I've used the electroscope without using any lab write-up.  Each lab group has the equipment, and I have a setup at the front too.  I say "let's try rubbing the glass rod with the silk cloth, like this…." and lead them through the basic phenomena. This solves the biggest problem for the lab, which is that it keeps students from seeing the wrong thing, which they often seem to do.  (Maybe they short things out with their fingers or something.)
For what it's worth, I can never get too excited about charging by induction, so I will probably skip that part in any event.</t>
        </r>
      </text>
    </comment>
    <comment ref="J10" authorId="0" shapeId="0" xr:uid="{00000000-0006-0000-0000-000007000000}">
      <text>
        <r>
          <rPr>
            <b/>
            <sz val="9"/>
            <color indexed="81"/>
            <rFont val="Tahoma"/>
            <family val="2"/>
          </rPr>
          <t>Matt Trawick:</t>
        </r>
        <r>
          <rPr>
            <sz val="9"/>
            <color indexed="81"/>
            <rFont val="Tahoma"/>
            <family val="2"/>
          </rPr>
          <t xml:space="preserve">
I believe this lab is a better fit for 131 than 132.  (The last activity is about circular motion.)  
I think that this lab takes a lot of time and that the two main learning objectives (the form of the force law and the size of the coulomb constant) can be more efficiently dealt with in lecture or a homework problem.
</t>
        </r>
      </text>
    </comment>
    <comment ref="U11" authorId="0" shapeId="0" xr:uid="{00000000-0006-0000-0000-000008000000}">
      <text>
        <r>
          <rPr>
            <b/>
            <sz val="9"/>
            <color indexed="81"/>
            <rFont val="Tahoma"/>
            <family val="2"/>
          </rPr>
          <t>Matt Trawick:</t>
        </r>
        <r>
          <rPr>
            <sz val="9"/>
            <color indexed="81"/>
            <rFont val="Tahoma"/>
            <family val="2"/>
          </rPr>
          <t xml:space="preserve">
In the past we have used 1.5 (one "yes", one "maybe") as the minimum number of votes needed to include a lab in the manual.  
Remember, if a lab is not in the manual, it's VERY easy to generate a PDF file of a single lab to give your class.</t>
        </r>
      </text>
    </comment>
    <comment ref="G16" authorId="0" shapeId="0" xr:uid="{00000000-0006-0000-0000-000009000000}">
      <text>
        <r>
          <rPr>
            <b/>
            <sz val="9"/>
            <color indexed="81"/>
            <rFont val="Tahoma"/>
            <family val="2"/>
          </rPr>
          <t>Matt Trawick:</t>
        </r>
        <r>
          <rPr>
            <sz val="9"/>
            <color indexed="81"/>
            <rFont val="Tahoma"/>
            <family val="2"/>
          </rPr>
          <t xml:space="preserve">
I believe this is a more complete introduction to V than the older lab from Dickinson.</t>
        </r>
      </text>
    </comment>
    <comment ref="V19" authorId="0" shapeId="0" xr:uid="{00000000-0006-0000-0000-00000A000000}">
      <text>
        <r>
          <rPr>
            <b/>
            <sz val="9"/>
            <color indexed="81"/>
            <rFont val="Tahoma"/>
            <family val="2"/>
          </rPr>
          <t>Matt Trawick:</t>
        </r>
        <r>
          <rPr>
            <sz val="9"/>
            <color indexed="81"/>
            <rFont val="Tahoma"/>
            <family val="2"/>
          </rPr>
          <t xml:space="preserve">
cost of books for faculty, for instance.
(Approximation)</t>
        </r>
      </text>
    </comment>
    <comment ref="U21" authorId="0" shapeId="0" xr:uid="{00000000-0006-0000-0000-00000B000000}">
      <text>
        <r>
          <rPr>
            <b/>
            <sz val="9"/>
            <color indexed="81"/>
            <rFont val="Tahoma"/>
            <family val="2"/>
          </rPr>
          <t>Matt Trawick:</t>
        </r>
        <r>
          <rPr>
            <sz val="9"/>
            <color indexed="81"/>
            <rFont val="Tahoma"/>
            <family val="2"/>
          </rPr>
          <t xml:space="preserve">
"1" if labs always start on odd numbered (right hand) page.  Otherwise "0".</t>
        </r>
      </text>
    </comment>
    <comment ref="J23" authorId="0" shapeId="0" xr:uid="{00000000-0006-0000-0000-00000C000000}">
      <text>
        <r>
          <rPr>
            <b/>
            <sz val="9"/>
            <color indexed="81"/>
            <rFont val="Tahoma"/>
            <family val="2"/>
          </rPr>
          <t>Matt Trawick:</t>
        </r>
        <r>
          <rPr>
            <sz val="9"/>
            <color indexed="81"/>
            <rFont val="Tahoma"/>
            <family val="2"/>
          </rPr>
          <t xml:space="preserve">
My view is that this lab raises conceptual difficulties.  It requires using an AC source, which is hard for students to understand.  The lab tries to get at the relationship between charge and voltage in a capacitor, but it does so mathematically rather than really focusing on building student intuition for what's happening microscopically.
For what it's worth, I recently added some discussion about current to the RC circuit lab, which kind of addresses the question of what's happening to charge as the capacitor voltage increases.  (Though it doesn't directly address the relationship Q = CV.)
There's also the little detail that one seldom sees capacitors in series outside of contrived intro physics problems.  I think that's a negative, but that's probably just me.</t>
        </r>
      </text>
    </comment>
    <comment ref="T25" authorId="0" shapeId="0" xr:uid="{00000000-0006-0000-0000-00000D000000}">
      <text>
        <r>
          <rPr>
            <b/>
            <sz val="9"/>
            <color indexed="81"/>
            <rFont val="Tahoma"/>
            <family val="2"/>
          </rPr>
          <t>Matt Trawick:</t>
        </r>
        <r>
          <rPr>
            <sz val="9"/>
            <color indexed="81"/>
            <rFont val="Tahoma"/>
            <family val="2"/>
          </rPr>
          <t xml:space="preserve">
This is kind of a "what if" table.  What if we set the cutoff at 2 people using a particular lab for whether to include that lab in the manual?  For each possible cutoff, this table shows how long the manual would be and how much it would cost.</t>
        </r>
      </text>
    </comment>
    <comment ref="U25" authorId="0" shapeId="0" xr:uid="{00000000-0006-0000-0000-00000E000000}">
      <text>
        <r>
          <rPr>
            <b/>
            <sz val="9"/>
            <color indexed="81"/>
            <rFont val="Tahoma"/>
            <family val="2"/>
          </rPr>
          <t>Matt Trawick:</t>
        </r>
        <r>
          <rPr>
            <sz val="9"/>
            <color indexed="81"/>
            <rFont val="Tahoma"/>
            <family val="2"/>
          </rPr>
          <t xml:space="preserve">
Resulting number of pages in the manual.</t>
        </r>
      </text>
    </comment>
    <comment ref="W25" authorId="0" shapeId="0" xr:uid="{00000000-0006-0000-0000-00000F000000}">
      <text>
        <r>
          <rPr>
            <b/>
            <sz val="9"/>
            <color indexed="81"/>
            <rFont val="Tahoma"/>
            <family val="2"/>
          </rPr>
          <t>Matt Trawick:</t>
        </r>
        <r>
          <rPr>
            <sz val="9"/>
            <color indexed="81"/>
            <rFont val="Tahoma"/>
            <family val="2"/>
          </rPr>
          <t xml:space="preserve">
Estimated
</t>
        </r>
      </text>
    </comment>
    <comment ref="J27" authorId="0" shapeId="0" xr:uid="{00000000-0006-0000-0000-000010000000}">
      <text>
        <r>
          <rPr>
            <b/>
            <sz val="9"/>
            <color indexed="81"/>
            <rFont val="Tahoma"/>
            <family val="2"/>
          </rPr>
          <t>Matt Trawick:</t>
        </r>
        <r>
          <rPr>
            <sz val="9"/>
            <color indexed="81"/>
            <rFont val="Tahoma"/>
            <family val="2"/>
          </rPr>
          <t xml:space="preserve">
I don't use this lab because I tend not to stress Kirchoff's rules as a problem solving technique in 132.
For problems with one battery and resistors, it's much easier to simply group resistors in series or in parallel and use equivalent resistances.
Problems with two batteries, for which Kirchoff's rules are useful, always strike me as kind of contrived in 132. 
Given all the other stuff I COULD cover in 132, I'm happy enough to leave this out.</t>
        </r>
      </text>
    </comment>
    <comment ref="J28" authorId="0" shapeId="0" xr:uid="{00000000-0006-0000-0000-000011000000}">
      <text>
        <r>
          <rPr>
            <b/>
            <sz val="9"/>
            <color indexed="81"/>
            <rFont val="Tahoma"/>
            <family val="2"/>
          </rPr>
          <t>Matt Trawick:</t>
        </r>
        <r>
          <rPr>
            <sz val="9"/>
            <color indexed="81"/>
            <rFont val="Tahoma"/>
            <family val="2"/>
          </rPr>
          <t xml:space="preserve">
This is not the most sophisticated investigation we do, and it takes some time, but OH MY GOD do students LOVE this lab!!! (It also drives home kind of viscerally what this P=IV business really means.)</t>
        </r>
      </text>
    </comment>
    <comment ref="G30" authorId="0" shapeId="0" xr:uid="{00000000-0006-0000-0000-000012000000}">
      <text>
        <r>
          <rPr>
            <b/>
            <sz val="9"/>
            <color indexed="81"/>
            <rFont val="Tahoma"/>
            <family val="2"/>
          </rPr>
          <t>Matt Trawick:</t>
        </r>
        <r>
          <rPr>
            <sz val="9"/>
            <color indexed="81"/>
            <rFont val="Tahoma"/>
            <family val="2"/>
          </rPr>
          <t xml:space="preserve">
LR and LRC labs still written to use Datastudio.  Also, we haven't run these labs since sometime before 2004, and I'm not even sure we still have the equipment that's listed.</t>
        </r>
      </text>
    </comment>
    <comment ref="J30" authorId="0" shapeId="0" xr:uid="{00000000-0006-0000-0000-000014000000}">
      <text>
        <r>
          <rPr>
            <b/>
            <sz val="9"/>
            <color indexed="81"/>
            <rFont val="Tahoma"/>
            <family val="2"/>
          </rPr>
          <t>Matt Trawick:</t>
        </r>
        <r>
          <rPr>
            <sz val="9"/>
            <color indexed="81"/>
            <rFont val="Tahoma"/>
            <family val="2"/>
          </rPr>
          <t xml:space="preserve">
Ovidiu notes that books do LR circuits wrong, except feynman
</t>
        </r>
      </text>
    </comment>
    <comment ref="K30" authorId="0" shapeId="0" xr:uid="{00000000-0006-0000-0000-000013000000}">
      <text>
        <r>
          <rPr>
            <b/>
            <sz val="9"/>
            <color indexed="81"/>
            <rFont val="Tahoma"/>
            <family val="2"/>
          </rPr>
          <t xml:space="preserve">Ovidiu sez: needs changing.
</t>
        </r>
      </text>
    </comment>
    <comment ref="K31" authorId="0" shapeId="0" xr:uid="{00000000-0006-0000-0000-000015000000}">
      <text>
        <r>
          <rPr>
            <b/>
            <sz val="9"/>
            <color indexed="81"/>
            <rFont val="Tahoma"/>
            <family val="2"/>
          </rPr>
          <t xml:space="preserve">Needs changing
</t>
        </r>
      </text>
    </comment>
    <comment ref="J33" authorId="0" shapeId="0" xr:uid="{00000000-0006-0000-0000-000016000000}">
      <text>
        <r>
          <rPr>
            <b/>
            <sz val="9"/>
            <color indexed="81"/>
            <rFont val="Tahoma"/>
            <family val="2"/>
          </rPr>
          <t>Matt Trawick:</t>
        </r>
        <r>
          <rPr>
            <sz val="9"/>
            <color indexed="81"/>
            <rFont val="Tahoma"/>
            <family val="2"/>
          </rPr>
          <t xml:space="preserve">
Somehow students have a hard time understanding the directions for this lab.  Need to edit a bit?</t>
        </r>
      </text>
    </comment>
    <comment ref="G34" authorId="0" shapeId="0" xr:uid="{00000000-0006-0000-0000-000017000000}">
      <text>
        <r>
          <rPr>
            <b/>
            <sz val="9"/>
            <color indexed="81"/>
            <rFont val="Tahoma"/>
            <family val="2"/>
          </rPr>
          <t>Matt Trawick:</t>
        </r>
        <r>
          <rPr>
            <sz val="9"/>
            <color indexed="81"/>
            <rFont val="Tahoma"/>
            <family val="2"/>
          </rPr>
          <t xml:space="preserve">
This lab is now ONLY the oscilloscope-and-bar-magnet experiment.
</t>
        </r>
      </text>
    </comment>
    <comment ref="J34" authorId="0" shapeId="0" xr:uid="{00000000-0006-0000-0000-000018000000}">
      <text>
        <r>
          <rPr>
            <b/>
            <sz val="9"/>
            <color indexed="81"/>
            <rFont val="Tahoma"/>
            <family val="2"/>
          </rPr>
          <t>Matt Trawick:</t>
        </r>
        <r>
          <rPr>
            <sz val="9"/>
            <color indexed="81"/>
            <rFont val="Tahoma"/>
            <family val="2"/>
          </rPr>
          <t xml:space="preserve">
I do this as a demo.</t>
        </r>
      </text>
    </comment>
    <comment ref="G35" authorId="0" shapeId="0" xr:uid="{00000000-0006-0000-0000-000019000000}">
      <text>
        <r>
          <rPr>
            <b/>
            <sz val="9"/>
            <color indexed="81"/>
            <rFont val="Tahoma"/>
            <family val="2"/>
          </rPr>
          <t>Matt Trawick:</t>
        </r>
        <r>
          <rPr>
            <sz val="9"/>
            <color indexed="81"/>
            <rFont val="Tahoma"/>
            <family val="2"/>
          </rPr>
          <t xml:space="preserve">
Activity 1 is new in 2017: observing magnetic field around a straight wire.  
Activity 2 is the qualitative introduction to the tangent galvanometer. </t>
        </r>
      </text>
    </comment>
    <comment ref="J35" authorId="0" shapeId="0" xr:uid="{00000000-0006-0000-0000-00001A000000}">
      <text>
        <r>
          <rPr>
            <b/>
            <sz val="9"/>
            <color indexed="81"/>
            <rFont val="Tahoma"/>
            <family val="2"/>
          </rPr>
          <t>Matt Trawick:</t>
        </r>
        <r>
          <rPr>
            <sz val="9"/>
            <color indexed="81"/>
            <rFont val="Tahoma"/>
            <family val="2"/>
          </rPr>
          <t xml:space="preserve">
I will only use activity 1, and will cover activity 2 as a demo.</t>
        </r>
      </text>
    </comment>
    <comment ref="J38" authorId="0" shapeId="0" xr:uid="{00000000-0006-0000-0000-00001B000000}">
      <text>
        <r>
          <rPr>
            <b/>
            <sz val="9"/>
            <color indexed="81"/>
            <rFont val="Tahoma"/>
            <family val="2"/>
          </rPr>
          <t>Matt Trawick:</t>
        </r>
        <r>
          <rPr>
            <sz val="9"/>
            <color indexed="81"/>
            <rFont val="Tahoma"/>
            <family val="2"/>
          </rPr>
          <t xml:space="preserve">
I like these two labs by Ted a lot! 
I have a thing I often do with lining up all students at the white boards and having them solve Biot-Savart or Ampere's law problems like this all together.  When I do that, I'm effectively leading them through the same process they do in these two labs.  I'm unsure now whether I'll do the whiteboard thing or these two labs, but I'll definitely do one or the other.</t>
        </r>
      </text>
    </comment>
    <comment ref="J41" authorId="0" shapeId="0" xr:uid="{00000000-0006-0000-0000-00001C000000}">
      <text>
        <r>
          <rPr>
            <b/>
            <sz val="9"/>
            <color indexed="81"/>
            <rFont val="Tahoma"/>
            <family val="2"/>
          </rPr>
          <t>Matt Trawick:</t>
        </r>
        <r>
          <rPr>
            <sz val="9"/>
            <color indexed="81"/>
            <rFont val="Tahoma"/>
            <family val="2"/>
          </rPr>
          <t xml:space="preserve">
I only do activity 1.  I think activity 2 has serious problems, but Jerry really wanted to keep it.</t>
        </r>
      </text>
    </comment>
    <comment ref="G46" authorId="0" shapeId="0" xr:uid="{00000000-0006-0000-0000-00001D000000}">
      <text>
        <r>
          <rPr>
            <b/>
            <sz val="9"/>
            <color indexed="81"/>
            <rFont val="Tahoma"/>
            <family val="2"/>
          </rPr>
          <t>Matt Trawick:</t>
        </r>
        <r>
          <rPr>
            <sz val="9"/>
            <color indexed="81"/>
            <rFont val="Tahoma"/>
            <family val="2"/>
          </rPr>
          <t xml:space="preserve">
This now includes a Mathematica simulation (in addition to the experimental setup) to help students visualize what's going on.</t>
        </r>
      </text>
    </comment>
    <comment ref="J46" authorId="0" shapeId="0" xr:uid="{00000000-0006-0000-0000-00001E000000}">
      <text>
        <r>
          <rPr>
            <b/>
            <sz val="9"/>
            <color indexed="81"/>
            <rFont val="Tahoma"/>
            <family val="2"/>
          </rPr>
          <t>Matt Trawick:</t>
        </r>
        <r>
          <rPr>
            <sz val="9"/>
            <color indexed="81"/>
            <rFont val="Tahoma"/>
            <family val="2"/>
          </rPr>
          <t xml:space="preserve">
This is long lab if you do it all, but it would be fine to skip activities 4 and 5 (on more than 2 slits).
</t>
        </r>
      </text>
    </comment>
    <comment ref="G48" authorId="0" shapeId="0" xr:uid="{00000000-0006-0000-0000-00001F000000}">
      <text>
        <r>
          <rPr>
            <b/>
            <sz val="9"/>
            <color indexed="81"/>
            <rFont val="Tahoma"/>
            <family val="2"/>
          </rPr>
          <t>Matt Trawick:</t>
        </r>
        <r>
          <rPr>
            <sz val="9"/>
            <color indexed="81"/>
            <rFont val="Tahoma"/>
            <family val="2"/>
          </rPr>
          <t xml:space="preserve">
This now uses a Mathematica simulation in addition to the experimental setup, to visualize what's going on.
</t>
        </r>
      </text>
    </comment>
    <comment ref="J48" authorId="0" shapeId="0" xr:uid="{00000000-0006-0000-0000-000020000000}">
      <text>
        <r>
          <rPr>
            <b/>
            <sz val="9"/>
            <color indexed="81"/>
            <rFont val="Tahoma"/>
            <family val="2"/>
          </rPr>
          <t>Matt Trawick:</t>
        </r>
        <r>
          <rPr>
            <sz val="9"/>
            <color indexed="81"/>
            <rFont val="Tahoma"/>
            <family val="2"/>
          </rPr>
          <t xml:space="preserve">
This is a fine lab, but it's conceptually challenging and takes time.  If snow days eat class time, then for me this topic is one of the first to go.
Like the previous lab, this one is long, but is written in such a way that you can stop after the first two sections and it's okay.
</t>
        </r>
      </text>
    </comment>
    <comment ref="J55" authorId="0" shapeId="0" xr:uid="{00000000-0006-0000-0000-000021000000}">
      <text>
        <r>
          <rPr>
            <b/>
            <sz val="9"/>
            <color indexed="81"/>
            <rFont val="Tahoma"/>
            <family val="2"/>
          </rPr>
          <t>Matt Trawick:</t>
        </r>
        <r>
          <rPr>
            <sz val="9"/>
            <color indexed="81"/>
            <rFont val="Tahoma"/>
            <family val="2"/>
          </rPr>
          <t xml:space="preserve">
Matt and Ted aren't crazy about either of the two labs that involve boiling water ("heat, temp &amp; int energy" and "calorimetry"), on the grounds that they take time and students can get the same thing from example problems or homework questions. </t>
        </r>
      </text>
    </comment>
    <comment ref="J56" authorId="0" shapeId="0" xr:uid="{00000000-0006-0000-0000-000022000000}">
      <text>
        <r>
          <rPr>
            <b/>
            <sz val="9"/>
            <color indexed="81"/>
            <rFont val="Tahoma"/>
            <family val="2"/>
          </rPr>
          <t>Matt Trawick:</t>
        </r>
        <r>
          <rPr>
            <sz val="9"/>
            <color indexed="81"/>
            <rFont val="Tahoma"/>
            <family val="2"/>
          </rPr>
          <t xml:space="preserve">
In our meeting 12/2016, Matt and Ted both indicate we're not crazy about these gas labs, in part because our students are already pretty solid on the universal gas law.
</t>
        </r>
      </text>
    </comment>
    <comment ref="J58" authorId="0" shapeId="0" xr:uid="{00000000-0006-0000-0000-000023000000}">
      <text>
        <r>
          <rPr>
            <b/>
            <sz val="9"/>
            <color indexed="81"/>
            <rFont val="Tahoma"/>
            <family val="2"/>
          </rPr>
          <t>Matt Trawick:</t>
        </r>
        <r>
          <rPr>
            <sz val="9"/>
            <color indexed="81"/>
            <rFont val="Tahoma"/>
            <family val="2"/>
          </rPr>
          <t xml:space="preserve">
Henry points out that students typically obtain values for absolute zero that are too low, and that this is actually a nice opportunity to talk about systematic error.  </t>
        </r>
      </text>
    </comment>
    <comment ref="J63" authorId="0" shapeId="0" xr:uid="{00000000-0006-0000-0000-000024000000}">
      <text>
        <r>
          <rPr>
            <b/>
            <sz val="9"/>
            <color indexed="81"/>
            <rFont val="Tahoma"/>
            <family val="2"/>
          </rPr>
          <t>Matt Trawick:</t>
        </r>
        <r>
          <rPr>
            <sz val="9"/>
            <color indexed="81"/>
            <rFont val="Tahoma"/>
            <family val="2"/>
          </rPr>
          <t xml:space="preserve">
Note that this lab was re-written in 2015 to be much less prescriptive.  It expects students to know that the power dissipated in a resistor is P=IV.  This argues for doing this lab AFTER electric circuits.
</t>
        </r>
      </text>
    </comment>
    <comment ref="J66" authorId="0" shapeId="0" xr:uid="{00000000-0006-0000-0000-000025000000}">
      <text>
        <r>
          <rPr>
            <b/>
            <sz val="9"/>
            <color indexed="81"/>
            <rFont val="Tahoma"/>
            <family val="2"/>
          </rPr>
          <t>Matt Trawick:</t>
        </r>
        <r>
          <rPr>
            <sz val="9"/>
            <color indexed="81"/>
            <rFont val="Tahoma"/>
            <family val="2"/>
          </rPr>
          <t xml:space="preserve">
I love this lab, and I've used it in the past when I've taught Modern Physics.  (It's a nice way to tie those pesky "energy quanta" to something more tangible.)  I tend not to use this in 132, just because I don't usually have time to do any topics in quantum mechanics.</t>
        </r>
      </text>
    </comment>
    <comment ref="J69" authorId="0" shapeId="0" xr:uid="{00000000-0006-0000-0000-000026000000}">
      <text>
        <r>
          <rPr>
            <b/>
            <sz val="9"/>
            <color indexed="81"/>
            <rFont val="Tahoma"/>
            <family val="2"/>
          </rPr>
          <t>Matt Trawick:</t>
        </r>
        <r>
          <rPr>
            <sz val="9"/>
            <color indexed="81"/>
            <rFont val="Tahoma"/>
            <family val="2"/>
          </rPr>
          <t xml:space="preserve">
I have nothing against this lab; there's just not enough time in the semester to do everything I'd like.
I do typically at least show the effect: I give everybody a diffraction grating, and put a single hydrogen source at the front of the room with the lights out so everybody can see the spectral lines.</t>
        </r>
      </text>
    </comment>
    <comment ref="J76" authorId="0" shapeId="0" xr:uid="{00000000-0006-0000-0000-000027000000}">
      <text>
        <r>
          <rPr>
            <b/>
            <sz val="9"/>
            <color indexed="81"/>
            <rFont val="Tahoma"/>
            <family val="2"/>
          </rPr>
          <t>Matt Trawick:</t>
        </r>
        <r>
          <rPr>
            <sz val="9"/>
            <color indexed="81"/>
            <rFont val="Tahoma"/>
            <family val="2"/>
          </rPr>
          <t xml:space="preserve">
This could be better.  It includes a section on significant figures that I think is is kind of school-marmish.  And the treatment of statistical analysis is not exactly inspirational.</t>
        </r>
      </text>
    </comment>
  </commentList>
</comments>
</file>

<file path=xl/sharedStrings.xml><?xml version="1.0" encoding="utf-8"?>
<sst xmlns="http://schemas.openxmlformats.org/spreadsheetml/2006/main" count="327" uniqueCount="236">
  <si>
    <t>1 Music to Our Ears: Standing Waves in Strings 7</t>
  </si>
  <si>
    <t>2 Resonance in Tubes 13</t>
  </si>
  <si>
    <t>3 The Doppler Shift 15</t>
  </si>
  <si>
    <t>4 Electrostatics 17</t>
  </si>
  <si>
    <t>5 The Interactions of Electric Charges 21</t>
  </si>
  <si>
    <t>6 Charge, Charge Density, and Fun with Integrals 28</t>
  </si>
  <si>
    <t>7 The Electrical and Gravitational Forces 30</t>
  </si>
  <si>
    <t>8 Electric Fields and Equipotential Lines 35</t>
  </si>
  <si>
    <t>9 The Electric Field Near a Charged Rod 38</t>
  </si>
  <si>
    <t>10 An Example Problem Using Electric Potential 40</t>
  </si>
  <si>
    <t>11 The Electric Potential 41</t>
  </si>
  <si>
    <t>12 Finding Potential from the Electric Field 48</t>
  </si>
  <si>
    <t>13 The Electric Field and the Electric Potential I 53</t>
  </si>
  <si>
    <t>14 The Electric Field and the Electric Potential II 57</t>
  </si>
  <si>
    <t>15 The Electric Field and the Electric Potential III 60</t>
  </si>
  <si>
    <t>16 The Electric Field and the Electric Potential IV 63</t>
  </si>
  <si>
    <t>17 The Electric Field of the Atomic Nucleus 66</t>
  </si>
  <si>
    <t>18 The Charge Distribution of the H2O Molecule 69</t>
  </si>
  <si>
    <t>19 Capacitance Series Circuit 73</t>
  </si>
  <si>
    <t>20 An Introduction to Electric Circuits 75</t>
  </si>
  <si>
    <t>21 Ohm's Law and Equivalent Resistance 85</t>
  </si>
  <si>
    <t>22 Ohm's Law 93</t>
  </si>
  <si>
    <t>24 Power Dissipation in Resistors 101</t>
  </si>
  <si>
    <t>25 Charging and Discharging Capacitors (RC circuits) 104</t>
  </si>
  <si>
    <t>26 RC Circuits 107</t>
  </si>
  <si>
    <t>27 The LR Circuit 110</t>
  </si>
  <si>
    <t>28 The LRC Circuit 115</t>
  </si>
  <si>
    <t>29 Magnetism: Qualitative Interactions and Compasses 120</t>
  </si>
  <si>
    <t>30 Magnetism: Fields of Permanent Magnets 123</t>
  </si>
  <si>
    <t>31 Magnetism: Electric Currents and Moving Charges 126</t>
  </si>
  <si>
    <t>32 Magnetic Field of the Earth 129</t>
  </si>
  <si>
    <t>33 Weighing an Electron 132</t>
  </si>
  <si>
    <t>34 Intro to Electromagnetic Induction 139</t>
  </si>
  <si>
    <t>35 Electromagnetic Induction II: Sinusoidal Fields 141</t>
  </si>
  <si>
    <t>36 The Generator 146</t>
  </si>
  <si>
    <t>37 Deriving Electromagnetic Waves 150</t>
  </si>
  <si>
    <t>38 Electromagnetic Plane Waves 156</t>
  </si>
  <si>
    <t>39 The Interference of Light 161</t>
  </si>
  <si>
    <t>40 Di_x001B_raction of Light 165</t>
  </si>
  <si>
    <t>41 Di_x001B_raction 2 171</t>
  </si>
  <si>
    <t>42 The Di_x001B_raction Grating 173</t>
  </si>
  <si>
    <t>43 Refraction of Light 174</t>
  </si>
  <si>
    <t>44 Refraction at Spherical Surfaces: Thin Lenses 177</t>
  </si>
  <si>
    <t>45 Heat, Temperature, and Internal Energy 179</t>
  </si>
  <si>
    <t>46 Calorimetry 181</t>
  </si>
  <si>
    <t>47 Boyle's Law 185</t>
  </si>
  <si>
    <t>23 Kirchhoff's Rules 98</t>
  </si>
  <si>
    <t>48 Charles' Law 188</t>
  </si>
  <si>
    <t>49 The P-T Relationship of a Gas 191</t>
  </si>
  <si>
    <t>50 Kinetic Theory of Ideal Gases 193</t>
  </si>
  <si>
    <t>51 Applying the Kinetic Theory 198</t>
  </si>
  <si>
    <t>52 Heat of Vaporization of Nitrogen 203</t>
  </si>
  <si>
    <t>53 Heat of Vaporization of Nitrogen 204</t>
  </si>
  <si>
    <t>54 Cyclic Processes with an Ideal Gas 206</t>
  </si>
  <si>
    <t>55 Einstein Solid 211</t>
  </si>
  <si>
    <t>56 Entropy and Temperature 220</t>
  </si>
  <si>
    <t>57 The Optical Spectrum of Hydrogen 227</t>
  </si>
  <si>
    <t>58 A Theory for the Hydrogen Atom 230</t>
  </si>
  <si>
    <t>59 Where's the Electron? 237</t>
  </si>
  <si>
    <t>60 Nuclear Decay and Radiocarbon Dating 244</t>
  </si>
  <si>
    <t>61 Centripetal Force 253</t>
  </si>
  <si>
    <t>62 Conservation of Angular Momentum 259</t>
  </si>
  <si>
    <t>63 Impulse, Momentum, and Interactions 262</t>
  </si>
  <si>
    <t>64 Galilean Relativity 266</t>
  </si>
  <si>
    <t>65 The Twins Paradox 270</t>
  </si>
  <si>
    <t>A Treatment of Experimental Data 273</t>
  </si>
  <si>
    <t>B Introduction to DataStudio 275</t>
  </si>
  <si>
    <t>D A Single-Page Summary on Handling Uncertainties 281</t>
  </si>
  <si>
    <t>E Video Analysis Using VideoPoint 282</t>
  </si>
  <si>
    <t>F Video Analysis Using Tracker 284</t>
  </si>
  <si>
    <t>G Nuclear Safety 287</t>
  </si>
  <si>
    <t>H Instrumentation 288</t>
  </si>
  <si>
    <t>C Introduction to Excel 277</t>
  </si>
  <si>
    <t>Mechanical Waves</t>
  </si>
  <si>
    <t>Electrostatics</t>
  </si>
  <si>
    <t>Circuits</t>
  </si>
  <si>
    <t>Topic</t>
  </si>
  <si>
    <t>Magnetism</t>
  </si>
  <si>
    <t>Induction, EM waves</t>
  </si>
  <si>
    <t>Wave Optics</t>
  </si>
  <si>
    <t>Geometric Optics</t>
  </si>
  <si>
    <t>Thermodynamics</t>
  </si>
  <si>
    <t>Quantum Mechanics</t>
  </si>
  <si>
    <t>Misc</t>
  </si>
  <si>
    <t>Appendices</t>
  </si>
  <si>
    <t>page
count</t>
  </si>
  <si>
    <t>color pages</t>
  </si>
  <si>
    <t>b&amp;w</t>
  </si>
  <si>
    <t>binder</t>
  </si>
  <si>
    <t>pagecosts:</t>
  </si>
  <si>
    <t>expected extra pages</t>
  </si>
  <si>
    <t>Min votes to include:</t>
  </si>
  <si>
    <t>by MT, 2015</t>
  </si>
  <si>
    <t>Diffraction of Light through a Single Slit</t>
  </si>
  <si>
    <t>2nd half new by MT, 2016</t>
  </si>
  <si>
    <t>Ampere's law for infinite sheet</t>
  </si>
  <si>
    <t>Expansion of a gas at constant pressure</t>
  </si>
  <si>
    <t>Biot Savart Law for straight wire</t>
  </si>
  <si>
    <t>Biot Savart Law Above Current Loops</t>
  </si>
  <si>
    <t>Introduction to Capstone</t>
  </si>
  <si>
    <t>color extra</t>
  </si>
  <si>
    <t>bookstore markup</t>
  </si>
  <si>
    <t>other markup</t>
  </si>
  <si>
    <t>Front matter</t>
  </si>
  <si>
    <t>Title pages</t>
  </si>
  <si>
    <t>Table of contents</t>
  </si>
  <si>
    <t>Title</t>
  </si>
  <si>
    <t>Notes</t>
  </si>
  <si>
    <t>by MT 2015</t>
  </si>
  <si>
    <t>Music to Our Ears: Standing Waves in Strings</t>
  </si>
  <si>
    <t>Charge, Charge Density, and Fun with Integrals</t>
  </si>
  <si>
    <t>The Electrical and Gravitational Forces</t>
  </si>
  <si>
    <t>The Electric Field Near a Charged Rod</t>
  </si>
  <si>
    <t>Finding Potential from the Electric Field</t>
  </si>
  <si>
    <t>The Electric Field of the Atomic Nucleus</t>
  </si>
  <si>
    <t>The Charge Distribution of the H2O Molecule</t>
  </si>
  <si>
    <t>Capacitance Series Circuit</t>
  </si>
  <si>
    <t>An Introduction to Electric Circuits</t>
  </si>
  <si>
    <t>Ohm's Law and Equivalent Resistance</t>
  </si>
  <si>
    <t>Power Dissipation in Resistors</t>
  </si>
  <si>
    <t>Charging and Discharging Capacitors (RC circuits)</t>
  </si>
  <si>
    <t>The LR Circuit</t>
  </si>
  <si>
    <t>The LRC Circuit</t>
  </si>
  <si>
    <t>Magnetism: Qualitative Interactions and Compasses</t>
  </si>
  <si>
    <t>Magnetism: Fields of Permanent Magnets</t>
  </si>
  <si>
    <t>Magnetic Field of the Earth</t>
  </si>
  <si>
    <t>Weighing an Electron</t>
  </si>
  <si>
    <t>Intro to Electromagnetic Induction</t>
  </si>
  <si>
    <t>Deriving Electromagnetic Waves</t>
  </si>
  <si>
    <t>The Diffraction Grating</t>
  </si>
  <si>
    <t>Refraction at Spherical Surfaces: Thin Lenses</t>
  </si>
  <si>
    <t>Heat, Temperature, and Internal Energy</t>
  </si>
  <si>
    <t>Calorimetry</t>
  </si>
  <si>
    <t>Boyle's Law</t>
  </si>
  <si>
    <t>Charles' Law</t>
  </si>
  <si>
    <t>The P-T Relationship of a Gas</t>
  </si>
  <si>
    <t>Kinetic Theory of Ideal Gases</t>
  </si>
  <si>
    <t>Applying the Kinetic Theory</t>
  </si>
  <si>
    <t>Cyclic Processes with an Ideal Gas</t>
  </si>
  <si>
    <t>Einstein Solid</t>
  </si>
  <si>
    <t>Entropy and Temperature</t>
  </si>
  <si>
    <t>Entropy: Is It Possible?</t>
  </si>
  <si>
    <t>The Optical Spectrum of Hydrogen</t>
  </si>
  <si>
    <t>A Theory for the Hydrogen Atom</t>
  </si>
  <si>
    <t>Where's the Electron?</t>
  </si>
  <si>
    <t>Nuclear Decay and Radiocarbon Dating</t>
  </si>
  <si>
    <t>Galilean Relativity</t>
  </si>
  <si>
    <t>The Twins Paradox</t>
  </si>
  <si>
    <t>Treatment of Experimental Data</t>
  </si>
  <si>
    <t>Introduction to Excel</t>
  </si>
  <si>
    <t>A Single-Page Summary on Handling Uncertainties</t>
  </si>
  <si>
    <t>Video Analysis Using Tracker</t>
  </si>
  <si>
    <t>Nuclear Safety</t>
  </si>
  <si>
    <t>Instrumentation</t>
  </si>
  <si>
    <t>Resonance in Tubes</t>
  </si>
  <si>
    <t>The Doppler Shift</t>
  </si>
  <si>
    <t>much new stuff in 2015, by MT</t>
  </si>
  <si>
    <t>stuff moved around in 2015, -MT</t>
  </si>
  <si>
    <t>was "magnetism 1" pre 2015</t>
  </si>
  <si>
    <t>was "magnetism 2" pre 2015</t>
  </si>
  <si>
    <t>minimum man pages used</t>
  </si>
  <si>
    <t>maximum man pages used</t>
  </si>
  <si>
    <t>expected man pages used</t>
  </si>
  <si>
    <t>actual total pages in manual</t>
  </si>
  <si>
    <t>expected percent of manual used</t>
  </si>
  <si>
    <t># of users</t>
  </si>
  <si>
    <t>PAGES</t>
  </si>
  <si>
    <t>Color pgs</t>
  </si>
  <si>
    <t>Cost</t>
  </si>
  <si>
    <t>Electromagnetic Induction with Sinusoidal Fields</t>
  </si>
  <si>
    <t>Electric Charge and the Electroscope</t>
  </si>
  <si>
    <t>How to Tune a Piano</t>
  </si>
  <si>
    <t>by MT, 2017</t>
  </si>
  <si>
    <t>Introduction to Electric Potential</t>
  </si>
  <si>
    <t>Electric Potential for Multiple Charges: Superposition</t>
  </si>
  <si>
    <t>Electric Potential for Continuous Charge Distributions</t>
  </si>
  <si>
    <t>Measuring Equipotential Lines and Electric Fields [carbon paper]</t>
  </si>
  <si>
    <t>Magnetic Forces on Charged Particles</t>
  </si>
  <si>
    <t>Observing Magnetic Fields from Electric Currents</t>
  </si>
  <si>
    <t>content rearranged in 2017</t>
  </si>
  <si>
    <t>The Generator</t>
  </si>
  <si>
    <t>rewritten by MT, 2015</t>
  </si>
  <si>
    <t>by Ted, 2016</t>
  </si>
  <si>
    <t>by MT, 2016</t>
  </si>
  <si>
    <t>apparatus for 7(?) setups max</t>
  </si>
  <si>
    <t>Not updated for Capstone</t>
  </si>
  <si>
    <t>Using 32-bit applications in Windows</t>
  </si>
  <si>
    <t>Kirchoff's Rules</t>
  </si>
  <si>
    <t>Archimedes' Principle</t>
  </si>
  <si>
    <t>By Shaun, 2017</t>
  </si>
  <si>
    <t>even pages</t>
  </si>
  <si>
    <t>Start labs on right?</t>
  </si>
  <si>
    <t>type</t>
  </si>
  <si>
    <t>E</t>
  </si>
  <si>
    <t>T</t>
  </si>
  <si>
    <t>S</t>
  </si>
  <si>
    <t>new in 2017; replaces datastudio</t>
  </si>
  <si>
    <t>Measuring the Refraction of Light</t>
  </si>
  <si>
    <t>by MT, for 2018</t>
  </si>
  <si>
    <t>Waves in Media, and Deriving Snell's Law</t>
  </si>
  <si>
    <t>Visualizing Electromagnetic Plane Waves</t>
  </si>
  <si>
    <t xml:space="preserve"> 2019 spr Shaun</t>
  </si>
  <si>
    <t>Using Digital Multimeters</t>
  </si>
  <si>
    <t>New in fall 2019, by MT</t>
  </si>
  <si>
    <t>Interference of Light from Two or More Slits</t>
  </si>
  <si>
    <t>The Interference of Light</t>
  </si>
  <si>
    <t>Diffraction of Light</t>
  </si>
  <si>
    <t>by Jerry, 2019, from older version</t>
  </si>
  <si>
    <t>Force by Editor</t>
  </si>
  <si>
    <t>2019 fall Christine</t>
  </si>
  <si>
    <t>Redone by Jerry, 2019, new software</t>
  </si>
  <si>
    <t>by MT, updated 2019</t>
  </si>
  <si>
    <t>Electric Charges, Fields and Potentials For a Point Charge</t>
  </si>
  <si>
    <t>Electric Charges, Fields and Potentials For a Dipole</t>
  </si>
  <si>
    <t>The Electric Field and the Electric Potential III</t>
  </si>
  <si>
    <t>The Electric Field and the Electric Potential IV</t>
  </si>
  <si>
    <t>uses pretty old software</t>
  </si>
  <si>
    <t>Needed for kinetic theory labs?</t>
  </si>
  <si>
    <t>2020 fall Matt</t>
  </si>
  <si>
    <t>lightly edited by MT, 2020</t>
  </si>
  <si>
    <t>The Resistor Color Code</t>
  </si>
  <si>
    <t>by MT 2020</t>
  </si>
  <si>
    <t>by MT, 2020</t>
  </si>
  <si>
    <t>Resistance, Resistivity, and Ideal Meters and Batteries</t>
  </si>
  <si>
    <t># users 
for spring 2021</t>
  </si>
  <si>
    <t>"original" version</t>
  </si>
  <si>
    <t>Heat of Vaporization of Nitrogen [minimalist version]</t>
  </si>
  <si>
    <t>Heat of Vaporization of Nitrogen [prescriptive version]</t>
  </si>
  <si>
    <t>Kinetic Theory of Ideal Gases, and Equipartition of Energy</t>
  </si>
  <si>
    <t>2021 spr Ovidiu</t>
  </si>
  <si>
    <t>2021 spr Jack</t>
  </si>
  <si>
    <t>no-software version by MT, 2020</t>
  </si>
  <si>
    <t>2021 fall Mariama</t>
  </si>
  <si>
    <t>2022 spr
Ted</t>
  </si>
  <si>
    <t>2022 spr Jerry</t>
  </si>
  <si>
    <t>2022 spr 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</si>
</sst>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00_);_(\$* \(#,##0.00\);_(\$* \-??_);_(@_)"/>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sz val="11"/>
      <color rgb="FF000000"/>
      <name val="Calibri"/>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bottom style="medium">
        <color auto="1"/>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0" fillId="0" borderId="0"/>
    <xf numFmtId="164" fontId="20" fillId="0" borderId="0" applyBorder="0" applyProtection="0"/>
    <xf numFmtId="9" fontId="20" fillId="0" borderId="0" applyBorder="0" applyProtection="0"/>
  </cellStyleXfs>
  <cellXfs count="90">
    <xf numFmtId="0" fontId="0" fillId="0" borderId="0" xfId="0"/>
    <xf numFmtId="0" fontId="16" fillId="0" borderId="0" xfId="0" applyFont="1"/>
    <xf numFmtId="0" fontId="0" fillId="0" borderId="0" xfId="0" applyAlignment="1">
      <alignment horizontal="center"/>
    </xf>
    <xf numFmtId="0" fontId="0" fillId="0" borderId="0" xfId="0" applyFont="1"/>
    <xf numFmtId="0" fontId="16" fillId="0" borderId="0" xfId="0" applyFont="1" applyBorder="1"/>
    <xf numFmtId="0" fontId="0" fillId="0" borderId="0" xfId="0" applyBorder="1"/>
    <xf numFmtId="44" fontId="16" fillId="0" borderId="12" xfId="42" applyFont="1" applyBorder="1" applyAlignment="1">
      <alignment horizontal="center" wrapText="1"/>
    </xf>
    <xf numFmtId="44" fontId="0" fillId="0" borderId="14" xfId="42" applyFont="1" applyBorder="1"/>
    <xf numFmtId="44" fontId="0" fillId="0" borderId="16" xfId="42" applyFont="1" applyBorder="1"/>
    <xf numFmtId="0" fontId="16" fillId="0" borderId="0" xfId="0" applyFont="1" applyAlignment="1">
      <alignment horizontal="right"/>
    </xf>
    <xf numFmtId="0" fontId="16" fillId="0" borderId="17" xfId="0" applyFont="1" applyBorder="1" applyAlignment="1">
      <alignment horizontal="right"/>
    </xf>
    <xf numFmtId="1" fontId="0" fillId="0" borderId="17" xfId="0" applyNumberFormat="1" applyBorder="1" applyAlignment="1">
      <alignment horizontal="center"/>
    </xf>
    <xf numFmtId="1" fontId="0" fillId="0" borderId="0" xfId="0" applyNumberFormat="1" applyBorder="1" applyAlignment="1">
      <alignment horizontal="center"/>
    </xf>
    <xf numFmtId="0" fontId="0" fillId="0" borderId="0" xfId="0" applyFont="1" applyBorder="1"/>
    <xf numFmtId="44" fontId="0" fillId="0" borderId="12" xfId="42" applyFont="1" applyBorder="1"/>
    <xf numFmtId="0" fontId="16" fillId="0" borderId="10" xfId="0" applyFont="1" applyBorder="1"/>
    <xf numFmtId="0" fontId="16" fillId="0" borderId="13" xfId="0" applyFont="1" applyBorder="1"/>
    <xf numFmtId="0" fontId="16" fillId="0" borderId="15" xfId="0" applyFont="1" applyBorder="1"/>
    <xf numFmtId="0" fontId="0" fillId="0" borderId="0"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0" xfId="0" applyFill="1"/>
    <xf numFmtId="0" fontId="0" fillId="0" borderId="18" xfId="0" applyFill="1" applyBorder="1"/>
    <xf numFmtId="0" fontId="16" fillId="0" borderId="18" xfId="0" applyFont="1" applyFill="1" applyBorder="1" applyAlignment="1">
      <alignment horizontal="center"/>
    </xf>
    <xf numFmtId="0" fontId="0" fillId="0" borderId="17" xfId="0" applyFill="1" applyBorder="1"/>
    <xf numFmtId="1" fontId="0" fillId="0" borderId="18" xfId="0" applyNumberFormat="1" applyBorder="1" applyAlignment="1">
      <alignment horizontal="center"/>
    </xf>
    <xf numFmtId="0" fontId="0" fillId="0" borderId="21" xfId="0" applyBorder="1" applyAlignment="1">
      <alignment horizontal="center"/>
    </xf>
    <xf numFmtId="0" fontId="16" fillId="0" borderId="0" xfId="0" applyFont="1" applyBorder="1" applyAlignment="1">
      <alignment horizontal="right"/>
    </xf>
    <xf numFmtId="0" fontId="0" fillId="0" borderId="0" xfId="0" applyFill="1" applyBorder="1"/>
    <xf numFmtId="0" fontId="16" fillId="0" borderId="0" xfId="0" applyFont="1" applyBorder="1" applyAlignment="1">
      <alignment horizontal="center" wrapText="1"/>
    </xf>
    <xf numFmtId="0" fontId="0" fillId="0" borderId="0" xfId="0"/>
    <xf numFmtId="0" fontId="0" fillId="0" borderId="0" xfId="0" applyAlignment="1">
      <alignment horizontal="center"/>
    </xf>
    <xf numFmtId="0" fontId="0" fillId="0" borderId="17" xfId="0" applyBorder="1" applyAlignment="1">
      <alignment horizontal="center"/>
    </xf>
    <xf numFmtId="0" fontId="0" fillId="0" borderId="0" xfId="0" applyBorder="1" applyAlignment="1">
      <alignment horizontal="center"/>
    </xf>
    <xf numFmtId="0" fontId="0" fillId="0" borderId="18" xfId="0" applyBorder="1" applyAlignment="1">
      <alignment horizontal="center"/>
    </xf>
    <xf numFmtId="0" fontId="16" fillId="0" borderId="11" xfId="0" applyFont="1" applyBorder="1"/>
    <xf numFmtId="9" fontId="0" fillId="0" borderId="14" xfId="42" applyNumberFormat="1" applyFont="1" applyBorder="1"/>
    <xf numFmtId="0" fontId="16" fillId="0" borderId="22" xfId="0" applyFont="1" applyBorder="1"/>
    <xf numFmtId="9" fontId="0" fillId="0" borderId="16" xfId="42" applyNumberFormat="1" applyFont="1" applyBorder="1"/>
    <xf numFmtId="0" fontId="16" fillId="0" borderId="10" xfId="0" applyFont="1" applyFill="1" applyBorder="1"/>
    <xf numFmtId="0" fontId="0" fillId="0" borderId="12" xfId="0" applyBorder="1"/>
    <xf numFmtId="0" fontId="0" fillId="0" borderId="15" xfId="0" applyBorder="1"/>
    <xf numFmtId="0" fontId="0" fillId="0" borderId="16" xfId="0" applyBorder="1"/>
    <xf numFmtId="0" fontId="0" fillId="0" borderId="22" xfId="0" applyBorder="1"/>
    <xf numFmtId="0" fontId="16" fillId="0" borderId="18" xfId="0" applyFont="1" applyBorder="1" applyAlignment="1">
      <alignment horizontal="right"/>
    </xf>
    <xf numFmtId="0" fontId="16" fillId="0" borderId="18" xfId="0" applyFont="1" applyBorder="1" applyAlignment="1">
      <alignment horizontal="center" wrapText="1"/>
    </xf>
    <xf numFmtId="1" fontId="16" fillId="0" borderId="18" xfId="0" applyNumberFormat="1" applyFont="1" applyBorder="1" applyAlignment="1">
      <alignment horizontal="center" wrapText="1"/>
    </xf>
    <xf numFmtId="0" fontId="16" fillId="0" borderId="21" xfId="0" applyFont="1" applyBorder="1" applyAlignment="1">
      <alignment horizontal="center"/>
    </xf>
    <xf numFmtId="0" fontId="16" fillId="0" borderId="21" xfId="0" applyFont="1" applyBorder="1" applyAlignment="1">
      <alignment horizontal="center" wrapText="1"/>
    </xf>
    <xf numFmtId="0" fontId="0" fillId="0" borderId="0" xfId="0" applyFont="1" applyFill="1" applyBorder="1" applyAlignment="1">
      <alignment horizontal="left"/>
    </xf>
    <xf numFmtId="0" fontId="0" fillId="0" borderId="18" xfId="0" applyFont="1" applyFill="1" applyBorder="1" applyAlignment="1">
      <alignment horizontal="left"/>
    </xf>
    <xf numFmtId="0" fontId="0" fillId="0" borderId="0" xfId="0" applyFont="1" applyAlignment="1">
      <alignment horizontal="center" wrapText="1"/>
    </xf>
    <xf numFmtId="1" fontId="0" fillId="0" borderId="0" xfId="0" applyNumberFormat="1" applyFont="1" applyBorder="1" applyAlignment="1">
      <alignment horizontal="center" wrapText="1"/>
    </xf>
    <xf numFmtId="0" fontId="0" fillId="0" borderId="19" xfId="0" applyFont="1" applyBorder="1" applyAlignment="1">
      <alignment horizontal="center"/>
    </xf>
    <xf numFmtId="0" fontId="0" fillId="0" borderId="0" xfId="0" applyFont="1" applyBorder="1" applyAlignment="1">
      <alignment horizontal="center" wrapText="1"/>
    </xf>
    <xf numFmtId="0" fontId="0" fillId="0" borderId="18" xfId="0" applyFont="1" applyBorder="1" applyAlignment="1">
      <alignment horizontal="center" wrapText="1"/>
    </xf>
    <xf numFmtId="1" fontId="0" fillId="0" borderId="18" xfId="0" applyNumberFormat="1" applyFont="1" applyBorder="1" applyAlignment="1">
      <alignment horizontal="center" wrapText="1"/>
    </xf>
    <xf numFmtId="0" fontId="0" fillId="0" borderId="21" xfId="0" applyFont="1" applyBorder="1" applyAlignment="1">
      <alignment horizontal="center"/>
    </xf>
    <xf numFmtId="0" fontId="0" fillId="0" borderId="10" xfId="0" applyFont="1" applyBorder="1" applyAlignment="1">
      <alignment horizontal="right"/>
    </xf>
    <xf numFmtId="0" fontId="0" fillId="0" borderId="11" xfId="0" applyFont="1" applyBorder="1" applyAlignment="1">
      <alignment horizontal="center"/>
    </xf>
    <xf numFmtId="0" fontId="0" fillId="0" borderId="13" xfId="0" applyFont="1" applyBorder="1" applyAlignment="1">
      <alignment horizontal="right"/>
    </xf>
    <xf numFmtId="0" fontId="0" fillId="0" borderId="0" xfId="0" applyFont="1" applyBorder="1" applyAlignment="1">
      <alignment horizontal="center"/>
    </xf>
    <xf numFmtId="9" fontId="1" fillId="0" borderId="0" xfId="43" applyFont="1" applyBorder="1" applyAlignment="1">
      <alignment horizontal="center"/>
    </xf>
    <xf numFmtId="0" fontId="0" fillId="0" borderId="15" xfId="0" applyFont="1" applyBorder="1" applyAlignment="1">
      <alignment horizontal="right"/>
    </xf>
    <xf numFmtId="0" fontId="0" fillId="0" borderId="22" xfId="0" applyFont="1" applyBorder="1" applyAlignment="1">
      <alignment horizontal="center"/>
    </xf>
    <xf numFmtId="0" fontId="16" fillId="0" borderId="19" xfId="0" applyFont="1" applyBorder="1" applyAlignment="1">
      <alignment wrapText="1"/>
    </xf>
    <xf numFmtId="0" fontId="16" fillId="0" borderId="0" xfId="0" applyFont="1" applyBorder="1" applyAlignment="1">
      <alignment wrapText="1"/>
    </xf>
    <xf numFmtId="0" fontId="0" fillId="0" borderId="13" xfId="0" applyFont="1" applyBorder="1" applyAlignment="1">
      <alignment horizontal="left"/>
    </xf>
    <xf numFmtId="0" fontId="0" fillId="0" borderId="13" xfId="0" applyFont="1" applyFill="1" applyBorder="1" applyAlignment="1">
      <alignment horizontal="left"/>
    </xf>
    <xf numFmtId="0" fontId="0" fillId="0" borderId="15" xfId="0" applyFont="1" applyBorder="1" applyAlignment="1">
      <alignment horizontal="left"/>
    </xf>
    <xf numFmtId="0" fontId="0" fillId="0" borderId="0" xfId="0" applyFont="1" applyAlignment="1"/>
    <xf numFmtId="0" fontId="0" fillId="0" borderId="0" xfId="0" applyFill="1" applyBorder="1" applyAlignment="1">
      <alignment horizontal="center"/>
    </xf>
    <xf numFmtId="0" fontId="0" fillId="0" borderId="18" xfId="0" applyBorder="1"/>
    <xf numFmtId="0" fontId="0" fillId="0" borderId="0" xfId="0" applyAlignment="1">
      <alignment horizontal="center"/>
    </xf>
    <xf numFmtId="0" fontId="0" fillId="0" borderId="17" xfId="0" applyBorder="1" applyAlignment="1">
      <alignment horizontal="center"/>
    </xf>
    <xf numFmtId="0" fontId="0" fillId="0" borderId="0" xfId="0" applyBorder="1" applyAlignment="1">
      <alignment horizontal="center"/>
    </xf>
    <xf numFmtId="0" fontId="0" fillId="0" borderId="18" xfId="0" applyBorder="1" applyAlignment="1">
      <alignment horizontal="center"/>
    </xf>
    <xf numFmtId="0" fontId="0" fillId="0" borderId="0" xfId="0" applyFont="1" applyAlignment="1">
      <alignment horizontal="center"/>
    </xf>
    <xf numFmtId="0" fontId="0" fillId="0" borderId="18" xfId="0" applyFont="1" applyBorder="1" applyAlignment="1">
      <alignment horizontal="center"/>
    </xf>
    <xf numFmtId="0" fontId="16" fillId="0" borderId="21" xfId="0" applyFont="1" applyBorder="1" applyAlignment="1">
      <alignment wrapText="1"/>
    </xf>
    <xf numFmtId="0" fontId="0" fillId="0" borderId="0" xfId="0" applyFont="1" applyBorder="1" applyAlignment="1">
      <alignment horizontal="right"/>
    </xf>
    <xf numFmtId="0" fontId="0" fillId="0" borderId="0" xfId="0"/>
    <xf numFmtId="0" fontId="0" fillId="0" borderId="0" xfId="0" applyAlignment="1">
      <alignment horizontal="center"/>
    </xf>
    <xf numFmtId="0" fontId="0" fillId="0" borderId="0"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Font="1" applyAlignment="1">
      <alignment horizontal="center"/>
    </xf>
    <xf numFmtId="0" fontId="0" fillId="0" borderId="18" xfId="0" applyFont="1" applyBorder="1" applyAlignment="1">
      <alignment horizontal="center"/>
    </xf>
    <xf numFmtId="0" fontId="16" fillId="0" borderId="10" xfId="0" applyFont="1" applyBorder="1" applyAlignment="1">
      <alignment horizontal="center"/>
    </xf>
    <xf numFmtId="0" fontId="16" fillId="0" borderId="11" xfId="0" applyFont="1" applyBorder="1" applyAlignment="1">
      <alignment horizontal="center"/>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Currency 2" xfId="45" xr:uid="{00000000-0005-0000-0000-00002F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00000000-0005-0000-0000-000030000000}"/>
    <cellStyle name="Note" xfId="15" builtinId="10" customBuiltin="1"/>
    <cellStyle name="Output" xfId="10" builtinId="21" customBuiltin="1"/>
    <cellStyle name="Percent" xfId="43" builtinId="5"/>
    <cellStyle name="Percent 2" xfId="46" xr:uid="{00000000-0005-0000-0000-000031000000}"/>
    <cellStyle name="Title" xfId="1" builtinId="15" customBuiltin="1"/>
    <cellStyle name="Total" xfId="17" builtinId="25" customBuiltin="1"/>
    <cellStyle name="Warning Text" xfId="14" builtinId="11" customBuiltin="1"/>
  </cellStyles>
  <dxfs count="9">
    <dxf>
      <fill>
        <patternFill>
          <bgColor rgb="FFCDFFCD"/>
        </patternFill>
      </fill>
    </dxf>
    <dxf>
      <fill>
        <patternFill>
          <bgColor rgb="FFFFFF99"/>
        </patternFill>
      </fill>
    </dxf>
    <dxf>
      <fill>
        <patternFill>
          <bgColor rgb="FF99FF99"/>
        </patternFill>
      </fill>
    </dxf>
    <dxf>
      <fill>
        <patternFill>
          <bgColor rgb="FFCDFFCD"/>
        </patternFill>
      </fill>
    </dxf>
    <dxf>
      <fill>
        <patternFill>
          <bgColor rgb="FFFFFF99"/>
        </patternFill>
      </fill>
    </dxf>
    <dxf>
      <fill>
        <patternFill>
          <bgColor rgb="FF99FF99"/>
        </patternFill>
      </fill>
    </dxf>
    <dxf>
      <fill>
        <patternFill>
          <bgColor rgb="FFCDFFCD"/>
        </patternFill>
      </fill>
    </dxf>
    <dxf>
      <fill>
        <patternFill>
          <bgColor rgb="FFFFFF99"/>
        </patternFill>
      </fill>
    </dxf>
    <dxf>
      <fill>
        <patternFill>
          <bgColor rgb="FF99FF99"/>
        </patternFill>
      </fill>
    </dxf>
  </dxfs>
  <tableStyles count="0" defaultTableStyle="TableStyleMedium2" defaultPivotStyle="PivotStyleLight16"/>
  <colors>
    <mruColors>
      <color rgb="FFFFFF99"/>
      <color rgb="FF99FF99"/>
      <color rgb="FFCDFFCD"/>
      <color rgb="FFFFFF66"/>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2"/>
  <sheetViews>
    <sheetView tabSelected="1" topLeftCell="E1" zoomScaleNormal="100" zoomScalePageLayoutView="85" workbookViewId="0">
      <pane ySplit="1" topLeftCell="A20" activePane="bottomLeft" state="frozen"/>
      <selection pane="bottomLeft" activeCell="U41" sqref="U41"/>
    </sheetView>
  </sheetViews>
  <sheetFormatPr defaultColWidth="8.77734375" defaultRowHeight="14.4" x14ac:dyDescent="0.3"/>
  <cols>
    <col min="1" max="1" width="18.77734375" style="9" bestFit="1" customWidth="1"/>
    <col min="2" max="2" width="53.77734375" style="21" bestFit="1" customWidth="1"/>
    <col min="3" max="3" width="5.33203125" style="21" customWidth="1"/>
    <col min="4" max="4" width="8.109375" style="12" customWidth="1"/>
    <col min="5" max="6" width="5.77734375" style="12" customWidth="1"/>
    <col min="7" max="7" width="30.109375" style="18" customWidth="1"/>
    <col min="8" max="8" width="8.77734375" style="2" customWidth="1"/>
    <col min="9" max="12" width="8.77734375" style="73" customWidth="1"/>
    <col min="13" max="13" width="8.77734375" style="2" customWidth="1"/>
    <col min="14" max="15" width="8.77734375" style="73" customWidth="1"/>
    <col min="16" max="19" width="8.77734375" style="82" customWidth="1"/>
    <col min="20" max="20" width="8.77734375" style="73" customWidth="1"/>
    <col min="21" max="21" width="11" style="3" customWidth="1"/>
    <col min="22" max="22" width="9.88671875" style="3" customWidth="1"/>
    <col min="23" max="23" width="10.33203125" style="3" customWidth="1"/>
    <col min="25" max="25" width="9.44140625" customWidth="1"/>
    <col min="26" max="26" width="10.109375" bestFit="1" customWidth="1"/>
  </cols>
  <sheetData>
    <row r="1" spans="1:27" s="1" customFormat="1" ht="57.6" x14ac:dyDescent="0.3">
      <c r="A1" s="44" t="s">
        <v>76</v>
      </c>
      <c r="B1" s="23" t="s">
        <v>106</v>
      </c>
      <c r="C1" s="23" t="s">
        <v>192</v>
      </c>
      <c r="D1" s="46" t="s">
        <v>85</v>
      </c>
      <c r="E1" s="46" t="s">
        <v>86</v>
      </c>
      <c r="F1" s="46" t="s">
        <v>190</v>
      </c>
      <c r="G1" s="47" t="s">
        <v>107</v>
      </c>
      <c r="H1" s="45" t="s">
        <v>201</v>
      </c>
      <c r="I1" s="45" t="s">
        <v>209</v>
      </c>
      <c r="J1" s="45" t="s">
        <v>218</v>
      </c>
      <c r="K1" s="45" t="s">
        <v>229</v>
      </c>
      <c r="L1" s="45" t="s">
        <v>230</v>
      </c>
      <c r="M1" s="45" t="s">
        <v>232</v>
      </c>
      <c r="N1" s="45" t="s">
        <v>234</v>
      </c>
      <c r="O1" s="45" t="s">
        <v>233</v>
      </c>
      <c r="P1" s="45" t="s">
        <v>235</v>
      </c>
      <c r="Q1" s="45" t="s">
        <v>208</v>
      </c>
      <c r="R1" s="48" t="s">
        <v>224</v>
      </c>
      <c r="S1" s="29"/>
      <c r="T1" s="30"/>
      <c r="U1" s="29"/>
      <c r="V1" s="29"/>
      <c r="W1" s="29"/>
      <c r="X1" s="30"/>
      <c r="Y1" s="30"/>
      <c r="Z1" s="30"/>
      <c r="AA1" s="30"/>
    </row>
    <row r="2" spans="1:27" s="1" customFormat="1" x14ac:dyDescent="0.3">
      <c r="A2" s="9" t="s">
        <v>103</v>
      </c>
      <c r="B2" s="49" t="s">
        <v>104</v>
      </c>
      <c r="C2" s="49"/>
      <c r="D2" s="52">
        <v>4</v>
      </c>
      <c r="E2" s="52">
        <v>1</v>
      </c>
      <c r="F2" s="52">
        <f t="shared" ref="F2:F33" si="0">CEILING(D2,T$22+1)</f>
        <v>4</v>
      </c>
      <c r="G2" s="53"/>
      <c r="H2" s="77"/>
      <c r="I2" s="77"/>
      <c r="J2" s="54">
        <v>1</v>
      </c>
      <c r="K2" s="51"/>
      <c r="L2" s="86">
        <v>1</v>
      </c>
      <c r="M2" s="86"/>
      <c r="N2" s="54">
        <v>1</v>
      </c>
      <c r="O2" s="51"/>
      <c r="P2" s="86"/>
      <c r="Q2" s="77">
        <v>2</v>
      </c>
      <c r="R2" s="65">
        <f>SUM(N2:Q2)</f>
        <v>3</v>
      </c>
      <c r="S2" s="30"/>
      <c r="T2" s="66"/>
      <c r="U2" s="66"/>
      <c r="V2" s="66"/>
      <c r="W2" s="29"/>
      <c r="X2" s="30"/>
      <c r="Y2" s="30"/>
      <c r="Z2" s="30"/>
      <c r="AA2" s="30"/>
    </row>
    <row r="3" spans="1:27" s="1" customFormat="1" x14ac:dyDescent="0.3">
      <c r="A3" s="44"/>
      <c r="B3" s="50" t="s">
        <v>105</v>
      </c>
      <c r="C3" s="50"/>
      <c r="D3" s="56">
        <v>2</v>
      </c>
      <c r="E3" s="56">
        <v>0</v>
      </c>
      <c r="F3" s="56">
        <f t="shared" si="0"/>
        <v>2</v>
      </c>
      <c r="G3" s="57"/>
      <c r="H3" s="78"/>
      <c r="I3" s="78"/>
      <c r="J3" s="55">
        <v>1</v>
      </c>
      <c r="K3" s="55"/>
      <c r="L3" s="87">
        <v>1</v>
      </c>
      <c r="M3" s="87"/>
      <c r="N3" s="55">
        <v>1</v>
      </c>
      <c r="O3" s="55"/>
      <c r="P3" s="87"/>
      <c r="Q3" s="78">
        <v>2</v>
      </c>
      <c r="R3" s="79">
        <f t="shared" ref="R3:R66" si="1">SUM(N3:Q3)</f>
        <v>3</v>
      </c>
      <c r="S3" s="30"/>
      <c r="T3" s="66"/>
      <c r="U3" s="66"/>
      <c r="V3" s="66"/>
      <c r="W3" s="29"/>
      <c r="X3" s="30"/>
      <c r="Y3" s="30"/>
      <c r="Z3" s="30"/>
      <c r="AA3" s="30"/>
    </row>
    <row r="4" spans="1:27" s="1" customFormat="1" x14ac:dyDescent="0.3">
      <c r="A4" s="27" t="s">
        <v>73</v>
      </c>
      <c r="B4" s="21" t="s">
        <v>109</v>
      </c>
      <c r="C4" s="21" t="s">
        <v>193</v>
      </c>
      <c r="D4" s="12">
        <v>5</v>
      </c>
      <c r="E4" s="12">
        <v>0</v>
      </c>
      <c r="F4" s="12">
        <f t="shared" si="0"/>
        <v>6</v>
      </c>
      <c r="G4" s="20" t="s">
        <v>94</v>
      </c>
      <c r="H4" s="75">
        <v>1</v>
      </c>
      <c r="I4" s="75">
        <v>1</v>
      </c>
      <c r="J4" s="75">
        <v>1</v>
      </c>
      <c r="K4" s="33">
        <v>1</v>
      </c>
      <c r="L4" s="83">
        <v>1</v>
      </c>
      <c r="M4" s="83">
        <v>1</v>
      </c>
      <c r="N4" s="83"/>
      <c r="O4" s="83">
        <v>1</v>
      </c>
      <c r="P4" s="83"/>
      <c r="Q4" s="75"/>
      <c r="R4" s="65">
        <f t="shared" si="1"/>
        <v>1</v>
      </c>
      <c r="S4" s="30"/>
      <c r="T4" s="4"/>
      <c r="U4" s="4"/>
      <c r="V4" s="4"/>
      <c r="W4" s="13"/>
      <c r="X4" s="30"/>
      <c r="Y4" s="30"/>
      <c r="Z4" s="30"/>
      <c r="AA4" s="30"/>
    </row>
    <row r="5" spans="1:27" x14ac:dyDescent="0.3">
      <c r="B5" s="21" t="s">
        <v>154</v>
      </c>
      <c r="C5" s="21" t="s">
        <v>193</v>
      </c>
      <c r="D5" s="12">
        <v>2</v>
      </c>
      <c r="E5" s="12">
        <v>0</v>
      </c>
      <c r="F5" s="12">
        <f t="shared" si="0"/>
        <v>2</v>
      </c>
      <c r="G5" s="20"/>
      <c r="H5" s="73">
        <v>1</v>
      </c>
      <c r="I5" s="73">
        <v>1</v>
      </c>
      <c r="J5" s="75">
        <v>1</v>
      </c>
      <c r="K5" s="71">
        <v>1</v>
      </c>
      <c r="L5" s="82">
        <v>1</v>
      </c>
      <c r="M5" s="82">
        <v>1</v>
      </c>
      <c r="N5" s="83"/>
      <c r="O5" s="82">
        <v>1</v>
      </c>
      <c r="Q5" s="73"/>
      <c r="R5" s="65">
        <f t="shared" si="1"/>
        <v>1</v>
      </c>
      <c r="S5" s="30"/>
      <c r="T5" s="4"/>
      <c r="U5" s="4"/>
      <c r="V5" s="4"/>
      <c r="W5" s="13"/>
      <c r="X5" s="30"/>
      <c r="Y5" s="30"/>
      <c r="Z5" s="30"/>
      <c r="AA5" s="30"/>
    </row>
    <row r="6" spans="1:27" x14ac:dyDescent="0.3">
      <c r="A6" s="27"/>
      <c r="B6" s="28" t="s">
        <v>155</v>
      </c>
      <c r="C6" s="28" t="s">
        <v>194</v>
      </c>
      <c r="D6" s="12">
        <v>2</v>
      </c>
      <c r="E6" s="12">
        <v>0</v>
      </c>
      <c r="F6" s="12">
        <f t="shared" si="0"/>
        <v>2</v>
      </c>
      <c r="G6" s="20" t="s">
        <v>92</v>
      </c>
      <c r="H6" s="75">
        <v>1</v>
      </c>
      <c r="I6" s="75"/>
      <c r="J6" s="75">
        <v>1</v>
      </c>
      <c r="K6" s="5"/>
      <c r="L6" s="83"/>
      <c r="M6" s="83"/>
      <c r="N6" s="83"/>
      <c r="O6" s="83">
        <v>1</v>
      </c>
      <c r="P6" s="83"/>
      <c r="Q6" s="75"/>
      <c r="R6" s="65">
        <f t="shared" si="1"/>
        <v>1</v>
      </c>
      <c r="S6" s="30"/>
      <c r="T6" s="4"/>
      <c r="U6" s="4"/>
      <c r="V6" s="4"/>
      <c r="W6" s="13"/>
      <c r="X6" s="30"/>
      <c r="Y6" s="30"/>
      <c r="Z6" s="30"/>
      <c r="AA6" s="30"/>
    </row>
    <row r="7" spans="1:27" s="30" customFormat="1" x14ac:dyDescent="0.3">
      <c r="A7" s="44"/>
      <c r="B7" s="22" t="s">
        <v>171</v>
      </c>
      <c r="C7" s="22" t="s">
        <v>194</v>
      </c>
      <c r="D7" s="25">
        <v>1</v>
      </c>
      <c r="E7" s="25">
        <v>0</v>
      </c>
      <c r="F7" s="25">
        <f t="shared" si="0"/>
        <v>2</v>
      </c>
      <c r="G7" s="26" t="s">
        <v>172</v>
      </c>
      <c r="H7" s="76"/>
      <c r="I7" s="76"/>
      <c r="J7" s="76">
        <v>1</v>
      </c>
      <c r="K7" s="72"/>
      <c r="L7" s="85"/>
      <c r="M7" s="85"/>
      <c r="N7" s="85"/>
      <c r="O7" s="85"/>
      <c r="P7" s="85"/>
      <c r="Q7" s="76"/>
      <c r="R7" s="79">
        <f t="shared" si="1"/>
        <v>0</v>
      </c>
      <c r="T7" s="4"/>
      <c r="U7" s="4"/>
      <c r="V7" s="4"/>
      <c r="W7" s="13"/>
    </row>
    <row r="8" spans="1:27" x14ac:dyDescent="0.3">
      <c r="A8" s="27" t="s">
        <v>74</v>
      </c>
      <c r="B8" s="21" t="s">
        <v>170</v>
      </c>
      <c r="C8" s="28" t="s">
        <v>193</v>
      </c>
      <c r="D8" s="12">
        <v>4</v>
      </c>
      <c r="E8" s="12">
        <v>0</v>
      </c>
      <c r="F8" s="12">
        <f t="shared" si="0"/>
        <v>4</v>
      </c>
      <c r="G8" s="20" t="s">
        <v>182</v>
      </c>
      <c r="H8" s="73">
        <v>1</v>
      </c>
      <c r="I8" s="73">
        <v>1</v>
      </c>
      <c r="J8" s="75">
        <v>0.1</v>
      </c>
      <c r="K8" s="31">
        <v>1</v>
      </c>
      <c r="L8" s="81"/>
      <c r="M8" s="82">
        <v>1</v>
      </c>
      <c r="N8" s="83">
        <v>1</v>
      </c>
      <c r="O8" s="82">
        <v>1</v>
      </c>
      <c r="Q8" s="73"/>
      <c r="R8" s="65">
        <f t="shared" si="1"/>
        <v>2</v>
      </c>
      <c r="S8" s="30"/>
      <c r="T8" s="4"/>
      <c r="U8" s="4"/>
      <c r="V8" s="4"/>
      <c r="W8" s="13"/>
      <c r="X8" s="30"/>
      <c r="Y8" s="30"/>
      <c r="Z8" s="30"/>
      <c r="AA8" s="30"/>
    </row>
    <row r="9" spans="1:27" x14ac:dyDescent="0.3">
      <c r="B9" s="21" t="s">
        <v>110</v>
      </c>
      <c r="C9" s="28" t="s">
        <v>194</v>
      </c>
      <c r="D9" s="12">
        <v>2</v>
      </c>
      <c r="E9" s="12">
        <v>0</v>
      </c>
      <c r="F9" s="12">
        <f t="shared" si="0"/>
        <v>2</v>
      </c>
      <c r="G9" s="20" t="s">
        <v>92</v>
      </c>
      <c r="H9" s="73">
        <v>1</v>
      </c>
      <c r="I9" s="73">
        <v>1</v>
      </c>
      <c r="J9" s="75">
        <v>1</v>
      </c>
      <c r="K9" s="31">
        <v>1</v>
      </c>
      <c r="L9" s="82">
        <v>1</v>
      </c>
      <c r="M9" s="82"/>
      <c r="N9" s="83"/>
      <c r="O9" s="82">
        <v>1</v>
      </c>
      <c r="Q9" s="73"/>
      <c r="R9" s="65">
        <f t="shared" si="1"/>
        <v>1</v>
      </c>
      <c r="S9" s="30"/>
      <c r="T9" s="4"/>
      <c r="U9" s="4"/>
      <c r="V9" s="4"/>
      <c r="W9" s="13"/>
      <c r="X9" s="30"/>
      <c r="Y9" s="30"/>
      <c r="Z9" s="30"/>
      <c r="AA9" s="30"/>
    </row>
    <row r="10" spans="1:27" ht="15" thickBot="1" x14ac:dyDescent="0.35">
      <c r="B10" s="21" t="s">
        <v>111</v>
      </c>
      <c r="C10" s="28" t="s">
        <v>194</v>
      </c>
      <c r="D10" s="12">
        <v>5</v>
      </c>
      <c r="E10" s="12">
        <v>0</v>
      </c>
      <c r="F10" s="12">
        <f t="shared" si="0"/>
        <v>6</v>
      </c>
      <c r="G10" s="20"/>
      <c r="H10" s="73"/>
      <c r="J10" s="75">
        <v>0</v>
      </c>
      <c r="K10" s="30"/>
      <c r="L10" s="81"/>
      <c r="M10" s="82">
        <v>1</v>
      </c>
      <c r="N10" s="83">
        <v>0.5</v>
      </c>
      <c r="O10" s="82"/>
      <c r="Q10" s="73"/>
      <c r="R10" s="65">
        <f t="shared" si="1"/>
        <v>0.5</v>
      </c>
      <c r="S10" s="30"/>
      <c r="T10" s="4"/>
      <c r="U10" s="4"/>
      <c r="V10" s="4"/>
      <c r="W10" s="13"/>
      <c r="X10" s="30"/>
      <c r="Y10" s="30"/>
      <c r="Z10" s="30"/>
      <c r="AA10" s="30"/>
    </row>
    <row r="11" spans="1:27" x14ac:dyDescent="0.3">
      <c r="B11" s="21" t="s">
        <v>112</v>
      </c>
      <c r="C11" s="28" t="s">
        <v>194</v>
      </c>
      <c r="D11" s="12">
        <v>2</v>
      </c>
      <c r="E11" s="12">
        <v>0</v>
      </c>
      <c r="F11" s="12">
        <f t="shared" si="0"/>
        <v>2</v>
      </c>
      <c r="G11" s="20" t="s">
        <v>92</v>
      </c>
      <c r="H11" s="73">
        <v>1</v>
      </c>
      <c r="I11" s="73">
        <v>1</v>
      </c>
      <c r="J11" s="75">
        <v>1</v>
      </c>
      <c r="K11" s="31">
        <v>1</v>
      </c>
      <c r="L11" s="81"/>
      <c r="M11" s="82"/>
      <c r="N11" s="83"/>
      <c r="O11" s="82">
        <v>1</v>
      </c>
      <c r="Q11" s="73"/>
      <c r="R11" s="65">
        <f t="shared" si="1"/>
        <v>1</v>
      </c>
      <c r="S11" s="30"/>
      <c r="T11" s="39" t="s">
        <v>91</v>
      </c>
      <c r="U11" s="40"/>
      <c r="V11" s="4"/>
      <c r="W11" s="13"/>
      <c r="X11" s="30"/>
      <c r="Y11" s="30"/>
      <c r="Z11" s="30"/>
      <c r="AA11" s="30"/>
    </row>
    <row r="12" spans="1:27" ht="15" thickBot="1" x14ac:dyDescent="0.35">
      <c r="B12" s="21" t="s">
        <v>212</v>
      </c>
      <c r="C12" s="28" t="s">
        <v>195</v>
      </c>
      <c r="D12" s="12">
        <v>4</v>
      </c>
      <c r="E12" s="12">
        <v>1</v>
      </c>
      <c r="F12" s="12">
        <f t="shared" si="0"/>
        <v>4</v>
      </c>
      <c r="G12" s="20" t="s">
        <v>210</v>
      </c>
      <c r="H12" s="73"/>
      <c r="J12" s="75">
        <v>0</v>
      </c>
      <c r="L12" s="82">
        <v>1</v>
      </c>
      <c r="M12" s="82">
        <v>1</v>
      </c>
      <c r="N12" s="83">
        <v>1</v>
      </c>
      <c r="O12" s="82"/>
      <c r="Q12" s="73"/>
      <c r="R12" s="65">
        <f t="shared" si="1"/>
        <v>1</v>
      </c>
      <c r="S12" s="30"/>
      <c r="T12" s="41">
        <v>1.5</v>
      </c>
      <c r="U12" s="42"/>
      <c r="V12" s="4"/>
      <c r="W12" s="13"/>
      <c r="X12" s="30"/>
      <c r="Y12" s="30"/>
      <c r="Z12" s="30"/>
      <c r="AA12" s="30"/>
    </row>
    <row r="13" spans="1:27" x14ac:dyDescent="0.3">
      <c r="B13" s="21" t="s">
        <v>213</v>
      </c>
      <c r="C13" s="28" t="s">
        <v>195</v>
      </c>
      <c r="D13" s="12">
        <v>3</v>
      </c>
      <c r="E13" s="12">
        <v>0</v>
      </c>
      <c r="F13" s="12">
        <f t="shared" si="0"/>
        <v>4</v>
      </c>
      <c r="G13" s="20" t="s">
        <v>210</v>
      </c>
      <c r="H13" s="73"/>
      <c r="J13" s="75">
        <v>0</v>
      </c>
      <c r="L13" s="82">
        <v>1</v>
      </c>
      <c r="M13" s="82">
        <v>1</v>
      </c>
      <c r="N13" s="83">
        <v>1</v>
      </c>
      <c r="O13" s="82"/>
      <c r="Q13" s="73"/>
      <c r="R13" s="65">
        <f t="shared" si="1"/>
        <v>1</v>
      </c>
      <c r="S13" s="30"/>
      <c r="T13" s="30"/>
      <c r="U13" s="30"/>
      <c r="V13" s="4"/>
      <c r="W13" s="13"/>
      <c r="X13" s="30"/>
      <c r="Y13" s="30"/>
      <c r="Z13" s="30"/>
      <c r="AA13" s="30"/>
    </row>
    <row r="14" spans="1:27" ht="15" thickBot="1" x14ac:dyDescent="0.35">
      <c r="B14" s="21" t="s">
        <v>214</v>
      </c>
      <c r="C14" s="28" t="s">
        <v>195</v>
      </c>
      <c r="D14" s="12">
        <v>3</v>
      </c>
      <c r="E14" s="12">
        <v>0</v>
      </c>
      <c r="F14" s="12">
        <f t="shared" si="0"/>
        <v>4</v>
      </c>
      <c r="G14" s="20" t="s">
        <v>216</v>
      </c>
      <c r="H14" s="73"/>
      <c r="J14" s="75"/>
      <c r="L14" s="81"/>
      <c r="M14" s="82"/>
      <c r="N14" s="83"/>
      <c r="O14" s="82"/>
      <c r="Q14" s="73"/>
      <c r="R14" s="65">
        <f t="shared" si="1"/>
        <v>0</v>
      </c>
      <c r="S14" s="30"/>
      <c r="T14" s="1" t="s">
        <v>89</v>
      </c>
      <c r="U14"/>
      <c r="V14" s="30"/>
      <c r="W14" s="13"/>
      <c r="X14" s="30"/>
      <c r="Y14" s="30"/>
      <c r="Z14" s="30"/>
      <c r="AA14" s="30"/>
    </row>
    <row r="15" spans="1:27" x14ac:dyDescent="0.3">
      <c r="B15" s="21" t="s">
        <v>215</v>
      </c>
      <c r="C15" s="28" t="s">
        <v>195</v>
      </c>
      <c r="D15" s="12">
        <v>3</v>
      </c>
      <c r="E15" s="12">
        <v>0</v>
      </c>
      <c r="F15" s="12">
        <f t="shared" si="0"/>
        <v>4</v>
      </c>
      <c r="G15" s="20" t="s">
        <v>216</v>
      </c>
      <c r="H15" s="73"/>
      <c r="J15" s="75"/>
      <c r="L15" s="81"/>
      <c r="M15" s="82"/>
      <c r="N15" s="83"/>
      <c r="O15" s="82"/>
      <c r="Q15" s="73"/>
      <c r="R15" s="65">
        <f t="shared" si="1"/>
        <v>0</v>
      </c>
      <c r="S15" s="30"/>
      <c r="T15" s="15" t="s">
        <v>87</v>
      </c>
      <c r="U15" s="35"/>
      <c r="V15" s="14">
        <v>0.05</v>
      </c>
      <c r="W15" s="30"/>
      <c r="X15" s="30"/>
      <c r="Y15" s="30"/>
      <c r="Z15" s="30"/>
      <c r="AA15" s="30"/>
    </row>
    <row r="16" spans="1:27" x14ac:dyDescent="0.3">
      <c r="B16" s="21" t="s">
        <v>173</v>
      </c>
      <c r="C16" s="28" t="s">
        <v>194</v>
      </c>
      <c r="D16" s="12">
        <v>9</v>
      </c>
      <c r="E16" s="12">
        <v>0</v>
      </c>
      <c r="F16" s="12">
        <f t="shared" si="0"/>
        <v>10</v>
      </c>
      <c r="G16" s="20" t="s">
        <v>172</v>
      </c>
      <c r="H16" s="73">
        <v>1</v>
      </c>
      <c r="I16" s="73">
        <v>1</v>
      </c>
      <c r="J16" s="75">
        <v>1</v>
      </c>
      <c r="K16" s="31">
        <v>1</v>
      </c>
      <c r="L16" s="82">
        <v>1</v>
      </c>
      <c r="M16" s="82">
        <v>1</v>
      </c>
      <c r="N16" s="83">
        <v>1</v>
      </c>
      <c r="O16" s="82">
        <v>1</v>
      </c>
      <c r="Q16" s="73"/>
      <c r="R16" s="65">
        <f t="shared" si="1"/>
        <v>2</v>
      </c>
      <c r="S16" s="30"/>
      <c r="T16" s="16" t="s">
        <v>100</v>
      </c>
      <c r="U16" s="4"/>
      <c r="V16" s="7">
        <v>0.3</v>
      </c>
      <c r="W16" s="30"/>
      <c r="X16" s="30"/>
      <c r="Y16" s="30"/>
      <c r="Z16" s="30"/>
      <c r="AA16" s="30"/>
    </row>
    <row r="17" spans="1:27" x14ac:dyDescent="0.3">
      <c r="B17" s="21" t="s">
        <v>176</v>
      </c>
      <c r="C17" s="28" t="s">
        <v>194</v>
      </c>
      <c r="D17" s="12">
        <v>3</v>
      </c>
      <c r="E17" s="12">
        <v>0</v>
      </c>
      <c r="F17" s="12">
        <f t="shared" si="0"/>
        <v>4</v>
      </c>
      <c r="G17" s="20"/>
      <c r="H17" s="73">
        <v>1</v>
      </c>
      <c r="I17" s="73">
        <v>1</v>
      </c>
      <c r="J17" s="75">
        <v>1</v>
      </c>
      <c r="K17" s="31">
        <v>1</v>
      </c>
      <c r="L17" s="82">
        <v>1</v>
      </c>
      <c r="M17" s="82">
        <v>1</v>
      </c>
      <c r="N17" s="83">
        <v>1</v>
      </c>
      <c r="O17" s="82">
        <v>1</v>
      </c>
      <c r="Q17" s="73"/>
      <c r="R17" s="65">
        <f t="shared" si="1"/>
        <v>2</v>
      </c>
      <c r="S17" s="30"/>
      <c r="T17" s="16" t="s">
        <v>88</v>
      </c>
      <c r="U17" s="4"/>
      <c r="V17" s="7">
        <v>3</v>
      </c>
      <c r="W17" s="30"/>
      <c r="X17" s="30"/>
      <c r="Y17" s="30"/>
      <c r="Z17" s="30"/>
      <c r="AA17" s="30"/>
    </row>
    <row r="18" spans="1:27" x14ac:dyDescent="0.3">
      <c r="B18" s="21" t="s">
        <v>174</v>
      </c>
      <c r="C18" s="28" t="s">
        <v>195</v>
      </c>
      <c r="D18" s="12">
        <v>5</v>
      </c>
      <c r="E18" s="12">
        <v>0</v>
      </c>
      <c r="F18" s="12">
        <f t="shared" si="0"/>
        <v>6</v>
      </c>
      <c r="G18" s="20" t="s">
        <v>172</v>
      </c>
      <c r="H18" s="73">
        <v>0.5</v>
      </c>
      <c r="J18" s="75">
        <v>1</v>
      </c>
      <c r="K18" s="31">
        <v>0</v>
      </c>
      <c r="L18" s="82">
        <v>1</v>
      </c>
      <c r="M18" s="82">
        <v>0</v>
      </c>
      <c r="N18" s="83"/>
      <c r="O18" s="82">
        <v>1</v>
      </c>
      <c r="Q18" s="73"/>
      <c r="R18" s="65">
        <f t="shared" si="1"/>
        <v>1</v>
      </c>
      <c r="S18" s="30"/>
      <c r="T18" s="16" t="s">
        <v>101</v>
      </c>
      <c r="U18" s="4"/>
      <c r="V18" s="36">
        <v>0.25</v>
      </c>
      <c r="W18" s="30"/>
      <c r="X18" s="30"/>
      <c r="Y18" s="30"/>
      <c r="Z18" s="30"/>
      <c r="AA18" s="30"/>
    </row>
    <row r="19" spans="1:27" ht="15" thickBot="1" x14ac:dyDescent="0.35">
      <c r="B19" s="21" t="s">
        <v>175</v>
      </c>
      <c r="C19" s="28" t="s">
        <v>194</v>
      </c>
      <c r="D19" s="12">
        <v>4</v>
      </c>
      <c r="E19" s="12">
        <v>0</v>
      </c>
      <c r="F19" s="12">
        <f t="shared" si="0"/>
        <v>4</v>
      </c>
      <c r="G19" s="20" t="s">
        <v>172</v>
      </c>
      <c r="H19" s="73">
        <v>1</v>
      </c>
      <c r="I19" s="73">
        <v>1</v>
      </c>
      <c r="J19" s="75">
        <v>1</v>
      </c>
      <c r="K19" s="31">
        <v>0</v>
      </c>
      <c r="L19" s="82">
        <v>0.1</v>
      </c>
      <c r="M19" s="82">
        <v>1</v>
      </c>
      <c r="N19" s="83">
        <v>1</v>
      </c>
      <c r="O19" s="82">
        <v>1</v>
      </c>
      <c r="Q19" s="73"/>
      <c r="R19" s="65">
        <f t="shared" si="1"/>
        <v>2</v>
      </c>
      <c r="S19" s="30"/>
      <c r="T19" s="17" t="s">
        <v>102</v>
      </c>
      <c r="U19" s="37"/>
      <c r="V19" s="38">
        <v>0.05</v>
      </c>
      <c r="W19" s="30"/>
      <c r="X19" s="30"/>
      <c r="Y19" s="30"/>
      <c r="Z19" s="30"/>
      <c r="AA19" s="30"/>
    </row>
    <row r="20" spans="1:27" ht="15" thickBot="1" x14ac:dyDescent="0.35">
      <c r="B20" s="21" t="s">
        <v>113</v>
      </c>
      <c r="C20" s="28" t="s">
        <v>194</v>
      </c>
      <c r="D20" s="12">
        <v>5</v>
      </c>
      <c r="E20" s="12">
        <v>0</v>
      </c>
      <c r="F20" s="12">
        <f t="shared" si="0"/>
        <v>6</v>
      </c>
      <c r="G20" s="20" t="s">
        <v>92</v>
      </c>
      <c r="H20" s="73">
        <v>1</v>
      </c>
      <c r="I20" s="73">
        <v>1</v>
      </c>
      <c r="J20" s="75">
        <v>1</v>
      </c>
      <c r="K20" s="31">
        <v>1</v>
      </c>
      <c r="L20" s="82">
        <v>1</v>
      </c>
      <c r="M20" s="82">
        <v>1</v>
      </c>
      <c r="N20" s="83">
        <v>1</v>
      </c>
      <c r="O20" s="82">
        <v>1</v>
      </c>
      <c r="Q20" s="73"/>
      <c r="R20" s="65">
        <f t="shared" si="1"/>
        <v>2</v>
      </c>
      <c r="S20" s="30"/>
      <c r="T20" s="3"/>
      <c r="U20"/>
      <c r="V20"/>
      <c r="W20" s="30"/>
      <c r="X20" s="30"/>
      <c r="Y20" s="30"/>
      <c r="Z20" s="30"/>
      <c r="AA20" s="30"/>
    </row>
    <row r="21" spans="1:27" x14ac:dyDescent="0.3">
      <c r="B21" s="21" t="s">
        <v>114</v>
      </c>
      <c r="C21" s="28" t="s">
        <v>194</v>
      </c>
      <c r="D21" s="12">
        <v>3</v>
      </c>
      <c r="E21" s="12">
        <v>0</v>
      </c>
      <c r="F21" s="12">
        <f t="shared" si="0"/>
        <v>4</v>
      </c>
      <c r="G21" s="20"/>
      <c r="H21" s="73"/>
      <c r="J21" s="75"/>
      <c r="K21" s="30"/>
      <c r="L21" s="81"/>
      <c r="M21" s="82"/>
      <c r="N21" s="83"/>
      <c r="O21" s="82"/>
      <c r="Q21" s="73"/>
      <c r="R21" s="65">
        <f t="shared" si="1"/>
        <v>0</v>
      </c>
      <c r="S21" s="30"/>
      <c r="T21" s="39" t="s">
        <v>191</v>
      </c>
      <c r="U21" s="40"/>
      <c r="V21" s="30"/>
      <c r="W21" s="30"/>
      <c r="X21" s="30"/>
      <c r="Y21" s="30"/>
      <c r="Z21" s="30"/>
      <c r="AA21" s="30"/>
    </row>
    <row r="22" spans="1:27" ht="15" thickBot="1" x14ac:dyDescent="0.35">
      <c r="B22" s="21" t="s">
        <v>115</v>
      </c>
      <c r="C22" s="28" t="s">
        <v>194</v>
      </c>
      <c r="D22" s="12">
        <v>4</v>
      </c>
      <c r="E22" s="12">
        <v>0</v>
      </c>
      <c r="F22" s="12">
        <f t="shared" si="0"/>
        <v>4</v>
      </c>
      <c r="G22" s="20"/>
      <c r="H22" s="73"/>
      <c r="J22" s="75">
        <v>0.1</v>
      </c>
      <c r="K22" s="31">
        <v>0</v>
      </c>
      <c r="L22" s="81"/>
      <c r="M22" s="82"/>
      <c r="N22" s="83"/>
      <c r="O22" s="82"/>
      <c r="Q22" s="73"/>
      <c r="R22" s="65">
        <f t="shared" si="1"/>
        <v>0</v>
      </c>
      <c r="S22" s="30"/>
      <c r="T22" s="41">
        <v>1</v>
      </c>
      <c r="U22" s="42"/>
      <c r="V22" s="30"/>
      <c r="W22" s="30"/>
      <c r="X22" s="30"/>
      <c r="Y22" s="30"/>
      <c r="Z22" s="30"/>
      <c r="AA22" s="30"/>
    </row>
    <row r="23" spans="1:27" x14ac:dyDescent="0.3">
      <c r="B23" s="21" t="s">
        <v>116</v>
      </c>
      <c r="C23" s="28" t="s">
        <v>193</v>
      </c>
      <c r="D23" s="12">
        <v>2</v>
      </c>
      <c r="E23" s="12">
        <v>0</v>
      </c>
      <c r="F23" s="12">
        <f t="shared" si="0"/>
        <v>2</v>
      </c>
      <c r="G23" s="20"/>
      <c r="H23" s="73"/>
      <c r="I23" s="73">
        <v>1</v>
      </c>
      <c r="J23" s="75">
        <v>0</v>
      </c>
      <c r="K23" s="31">
        <v>1</v>
      </c>
      <c r="L23" s="82">
        <v>1</v>
      </c>
      <c r="M23" s="82">
        <v>0.5</v>
      </c>
      <c r="N23" s="83"/>
      <c r="O23" s="82"/>
      <c r="Q23" s="76"/>
      <c r="R23" s="79">
        <f t="shared" si="1"/>
        <v>0</v>
      </c>
      <c r="S23" s="30"/>
      <c r="T23" s="3"/>
      <c r="U23" s="30"/>
      <c r="V23" s="30"/>
      <c r="W23" s="30"/>
      <c r="X23" s="30"/>
      <c r="Y23" s="30"/>
      <c r="Z23" s="30"/>
      <c r="AA23" s="30"/>
    </row>
    <row r="24" spans="1:27" s="5" customFormat="1" ht="15" thickBot="1" x14ac:dyDescent="0.35">
      <c r="A24" s="10" t="s">
        <v>75</v>
      </c>
      <c r="B24" s="24" t="s">
        <v>117</v>
      </c>
      <c r="C24" s="24" t="s">
        <v>193</v>
      </c>
      <c r="D24" s="11">
        <v>10</v>
      </c>
      <c r="E24" s="11">
        <v>0</v>
      </c>
      <c r="F24" s="11">
        <f t="shared" si="0"/>
        <v>10</v>
      </c>
      <c r="G24" s="19" t="s">
        <v>92</v>
      </c>
      <c r="H24" s="74">
        <v>0.5</v>
      </c>
      <c r="I24" s="74">
        <v>1</v>
      </c>
      <c r="J24" s="74">
        <v>1</v>
      </c>
      <c r="K24" s="32">
        <v>1</v>
      </c>
      <c r="L24" s="84">
        <v>1</v>
      </c>
      <c r="M24" s="84">
        <v>1</v>
      </c>
      <c r="N24" s="84">
        <v>1</v>
      </c>
      <c r="O24" s="84">
        <v>1</v>
      </c>
      <c r="P24" s="84"/>
      <c r="Q24" s="75"/>
      <c r="R24" s="65">
        <f t="shared" si="1"/>
        <v>2</v>
      </c>
      <c r="S24" s="30"/>
      <c r="T24" s="13"/>
      <c r="W24" s="30"/>
      <c r="X24" s="30"/>
      <c r="Y24" s="30"/>
      <c r="Z24" s="30"/>
      <c r="AA24" s="30"/>
    </row>
    <row r="25" spans="1:27" x14ac:dyDescent="0.3">
      <c r="B25" s="21" t="s">
        <v>118</v>
      </c>
      <c r="C25" s="28" t="s">
        <v>193</v>
      </c>
      <c r="D25" s="12">
        <v>8</v>
      </c>
      <c r="E25" s="12">
        <v>0</v>
      </c>
      <c r="F25" s="12">
        <f t="shared" si="0"/>
        <v>8</v>
      </c>
      <c r="G25" s="20" t="s">
        <v>92</v>
      </c>
      <c r="H25" s="73">
        <v>1</v>
      </c>
      <c r="I25" s="73">
        <v>1</v>
      </c>
      <c r="J25" s="75">
        <v>1</v>
      </c>
      <c r="K25" s="31">
        <v>1</v>
      </c>
      <c r="L25" s="82">
        <v>1</v>
      </c>
      <c r="M25" s="82">
        <v>1</v>
      </c>
      <c r="N25" s="83">
        <v>1</v>
      </c>
      <c r="O25" s="82">
        <v>1</v>
      </c>
      <c r="Q25" s="73"/>
      <c r="R25" s="65">
        <f t="shared" si="1"/>
        <v>2</v>
      </c>
      <c r="S25" s="30"/>
      <c r="T25" s="88" t="s">
        <v>165</v>
      </c>
      <c r="U25" s="89" t="s">
        <v>166</v>
      </c>
      <c r="V25" s="89" t="s">
        <v>167</v>
      </c>
      <c r="W25" s="6" t="s">
        <v>168</v>
      </c>
      <c r="X25" s="30"/>
      <c r="Y25" s="30"/>
      <c r="Z25" s="30"/>
      <c r="AA25" s="30"/>
    </row>
    <row r="26" spans="1:27" x14ac:dyDescent="0.3">
      <c r="B26" t="s">
        <v>223</v>
      </c>
      <c r="C26" s="28" t="s">
        <v>193</v>
      </c>
      <c r="D26" s="12">
        <v>3</v>
      </c>
      <c r="E26" s="12">
        <v>0</v>
      </c>
      <c r="F26" s="12">
        <f t="shared" si="0"/>
        <v>4</v>
      </c>
      <c r="G26" s="20" t="s">
        <v>222</v>
      </c>
      <c r="H26" s="73"/>
      <c r="J26" s="75">
        <v>1</v>
      </c>
      <c r="K26" s="73">
        <v>1</v>
      </c>
      <c r="L26" s="81"/>
      <c r="M26" s="82"/>
      <c r="N26" s="83"/>
      <c r="O26" s="82"/>
      <c r="Q26" s="73"/>
      <c r="R26" s="65">
        <f t="shared" si="1"/>
        <v>0</v>
      </c>
      <c r="S26" s="30"/>
      <c r="T26" s="67">
        <v>0</v>
      </c>
      <c r="U26" s="5">
        <f>SUMIF(R$2:R$85,"&gt;=" &amp; T26,F$2:F$85)</f>
        <v>370</v>
      </c>
      <c r="V26" s="5">
        <f t="shared" ref="V26:V34" si="2">SUMIF(U$2:U$86,"&gt;=" &amp; T26,E$2:E$86)</f>
        <v>0</v>
      </c>
      <c r="W26" s="7">
        <f t="shared" ref="W26:W34" si="3">($V$17 + $V$15*U26+$V$16*V26)*(1+V$18+V$19)</f>
        <v>27.95</v>
      </c>
      <c r="X26" s="30"/>
      <c r="Y26" s="30"/>
      <c r="Z26" s="30"/>
      <c r="AA26" s="30"/>
    </row>
    <row r="27" spans="1:27" x14ac:dyDescent="0.3">
      <c r="B27" s="21" t="s">
        <v>187</v>
      </c>
      <c r="C27" s="28" t="s">
        <v>193</v>
      </c>
      <c r="D27" s="12">
        <v>3</v>
      </c>
      <c r="E27" s="12">
        <v>0</v>
      </c>
      <c r="F27" s="12">
        <f t="shared" si="0"/>
        <v>4</v>
      </c>
      <c r="G27" s="20"/>
      <c r="H27" s="73">
        <v>1</v>
      </c>
      <c r="J27" s="75">
        <v>0</v>
      </c>
      <c r="K27" s="73">
        <v>1</v>
      </c>
      <c r="L27" s="81"/>
      <c r="M27" s="82"/>
      <c r="N27" s="83"/>
      <c r="O27" s="82"/>
      <c r="Q27" s="73"/>
      <c r="R27" s="65">
        <f t="shared" si="1"/>
        <v>0</v>
      </c>
      <c r="S27" s="30"/>
      <c r="T27" s="67">
        <v>0.5</v>
      </c>
      <c r="U27" s="5">
        <f t="shared" ref="U27:U34" si="4">SUMIF(R$2:R$85,"&gt;=" &amp; T27,F$2:F$85)</f>
        <v>254</v>
      </c>
      <c r="V27" s="5">
        <f t="shared" si="2"/>
        <v>0</v>
      </c>
      <c r="W27" s="7">
        <f t="shared" si="3"/>
        <v>20.410000000000004</v>
      </c>
      <c r="X27" s="30"/>
      <c r="Y27" s="30"/>
      <c r="Z27" s="30"/>
      <c r="AA27" s="30"/>
    </row>
    <row r="28" spans="1:27" s="30" customFormat="1" x14ac:dyDescent="0.3">
      <c r="A28" s="9"/>
      <c r="B28" s="21" t="s">
        <v>119</v>
      </c>
      <c r="C28" s="28" t="s">
        <v>193</v>
      </c>
      <c r="D28" s="12">
        <v>3</v>
      </c>
      <c r="E28" s="12">
        <v>0</v>
      </c>
      <c r="F28" s="12">
        <f t="shared" si="0"/>
        <v>4</v>
      </c>
      <c r="G28" s="20" t="s">
        <v>92</v>
      </c>
      <c r="H28" s="73">
        <v>0.5</v>
      </c>
      <c r="I28" s="73">
        <v>1</v>
      </c>
      <c r="J28" s="75">
        <v>1</v>
      </c>
      <c r="K28" s="31">
        <v>1</v>
      </c>
      <c r="L28" s="82"/>
      <c r="M28" s="82">
        <v>1</v>
      </c>
      <c r="N28" s="83">
        <v>1</v>
      </c>
      <c r="O28" s="82">
        <v>1</v>
      </c>
      <c r="P28" s="82"/>
      <c r="Q28" s="73"/>
      <c r="R28" s="65">
        <f t="shared" si="1"/>
        <v>2</v>
      </c>
      <c r="T28" s="67">
        <v>1</v>
      </c>
      <c r="U28" s="5">
        <f t="shared" si="4"/>
        <v>244</v>
      </c>
      <c r="V28" s="5">
        <f t="shared" si="2"/>
        <v>0</v>
      </c>
      <c r="W28" s="7">
        <f t="shared" si="3"/>
        <v>19.760000000000002</v>
      </c>
    </row>
    <row r="29" spans="1:27" x14ac:dyDescent="0.3">
      <c r="B29" s="21" t="s">
        <v>120</v>
      </c>
      <c r="C29" s="28" t="s">
        <v>193</v>
      </c>
      <c r="D29" s="12">
        <v>3</v>
      </c>
      <c r="E29" s="12">
        <v>0</v>
      </c>
      <c r="F29" s="12">
        <f t="shared" si="0"/>
        <v>4</v>
      </c>
      <c r="G29" s="20" t="s">
        <v>92</v>
      </c>
      <c r="H29" s="73">
        <v>1</v>
      </c>
      <c r="I29" s="73">
        <v>1</v>
      </c>
      <c r="J29" s="75">
        <v>1</v>
      </c>
      <c r="K29" s="31">
        <v>1</v>
      </c>
      <c r="L29" s="82">
        <v>1</v>
      </c>
      <c r="M29" s="82"/>
      <c r="N29" s="83"/>
      <c r="O29" s="82">
        <v>1</v>
      </c>
      <c r="Q29" s="73"/>
      <c r="R29" s="65">
        <f t="shared" si="1"/>
        <v>1</v>
      </c>
      <c r="S29" s="30"/>
      <c r="T29" s="68">
        <v>1.5</v>
      </c>
      <c r="U29" s="28">
        <f t="shared" si="4"/>
        <v>106</v>
      </c>
      <c r="V29" s="28">
        <f t="shared" si="2"/>
        <v>0</v>
      </c>
      <c r="W29" s="7">
        <f t="shared" si="3"/>
        <v>10.790000000000001</v>
      </c>
      <c r="X29" s="30"/>
      <c r="Y29" s="30"/>
      <c r="Z29" s="30"/>
      <c r="AA29" s="30"/>
    </row>
    <row r="30" spans="1:27" x14ac:dyDescent="0.3">
      <c r="B30" s="21" t="s">
        <v>121</v>
      </c>
      <c r="C30" s="28" t="s">
        <v>193</v>
      </c>
      <c r="D30" s="12">
        <v>5</v>
      </c>
      <c r="E30" s="12">
        <v>0</v>
      </c>
      <c r="F30" s="12">
        <f t="shared" si="0"/>
        <v>6</v>
      </c>
      <c r="G30" s="53" t="s">
        <v>185</v>
      </c>
      <c r="H30" s="73"/>
      <c r="J30" s="75"/>
      <c r="K30" s="31">
        <v>0</v>
      </c>
      <c r="L30" s="81"/>
      <c r="M30" s="82"/>
      <c r="N30" s="83"/>
      <c r="O30" s="82"/>
      <c r="Q30" s="73"/>
      <c r="R30" s="65">
        <f t="shared" si="1"/>
        <v>0</v>
      </c>
      <c r="S30" s="30"/>
      <c r="T30" s="67">
        <v>2</v>
      </c>
      <c r="U30" s="5">
        <f t="shared" si="4"/>
        <v>100</v>
      </c>
      <c r="V30" s="5">
        <f t="shared" si="2"/>
        <v>0</v>
      </c>
      <c r="W30" s="7">
        <f t="shared" si="3"/>
        <v>10.4</v>
      </c>
    </row>
    <row r="31" spans="1:27" x14ac:dyDescent="0.3">
      <c r="B31" s="21" t="s">
        <v>122</v>
      </c>
      <c r="C31" s="28" t="s">
        <v>193</v>
      </c>
      <c r="D31" s="12">
        <v>5</v>
      </c>
      <c r="E31" s="12">
        <v>0</v>
      </c>
      <c r="F31" s="12">
        <f t="shared" si="0"/>
        <v>6</v>
      </c>
      <c r="G31" s="53" t="s">
        <v>185</v>
      </c>
      <c r="H31" s="73"/>
      <c r="J31" s="75"/>
      <c r="K31" s="31">
        <v>0</v>
      </c>
      <c r="L31" s="81"/>
      <c r="M31" s="82"/>
      <c r="N31" s="83"/>
      <c r="O31" s="82"/>
      <c r="Q31" s="76"/>
      <c r="R31" s="79">
        <f t="shared" si="1"/>
        <v>0</v>
      </c>
      <c r="S31" s="30"/>
      <c r="T31" s="67">
        <v>2.5</v>
      </c>
      <c r="U31" s="5">
        <f t="shared" si="4"/>
        <v>6</v>
      </c>
      <c r="V31" s="5">
        <f t="shared" si="2"/>
        <v>0</v>
      </c>
      <c r="W31" s="7">
        <f t="shared" si="3"/>
        <v>4.29</v>
      </c>
      <c r="X31" s="30"/>
      <c r="Y31" s="30"/>
      <c r="Z31" s="30"/>
      <c r="AA31" s="30"/>
    </row>
    <row r="32" spans="1:27" x14ac:dyDescent="0.3">
      <c r="A32" s="10" t="s">
        <v>77</v>
      </c>
      <c r="B32" s="24" t="s">
        <v>123</v>
      </c>
      <c r="C32" s="24" t="s">
        <v>193</v>
      </c>
      <c r="D32" s="11">
        <v>3</v>
      </c>
      <c r="E32" s="11">
        <v>0</v>
      </c>
      <c r="F32" s="11">
        <f t="shared" si="0"/>
        <v>4</v>
      </c>
      <c r="G32" s="19" t="s">
        <v>158</v>
      </c>
      <c r="H32" s="74"/>
      <c r="I32" s="74"/>
      <c r="J32" s="74"/>
      <c r="K32" s="32"/>
      <c r="L32" s="84"/>
      <c r="M32" s="84"/>
      <c r="N32" s="84"/>
      <c r="O32" s="84"/>
      <c r="P32" s="84"/>
      <c r="Q32" s="75"/>
      <c r="R32" s="65">
        <f t="shared" si="1"/>
        <v>0</v>
      </c>
      <c r="S32" s="30"/>
      <c r="T32" s="67">
        <v>3</v>
      </c>
      <c r="U32" s="5">
        <f t="shared" si="4"/>
        <v>6</v>
      </c>
      <c r="V32" s="5">
        <f t="shared" si="2"/>
        <v>0</v>
      </c>
      <c r="W32" s="7">
        <f t="shared" si="3"/>
        <v>4.29</v>
      </c>
    </row>
    <row r="33" spans="1:27" s="5" customFormat="1" x14ac:dyDescent="0.3">
      <c r="A33" s="9"/>
      <c r="B33" s="21" t="s">
        <v>124</v>
      </c>
      <c r="C33" s="28" t="s">
        <v>193</v>
      </c>
      <c r="D33" s="12">
        <v>2</v>
      </c>
      <c r="E33" s="12">
        <v>0</v>
      </c>
      <c r="F33" s="12">
        <f t="shared" si="0"/>
        <v>2</v>
      </c>
      <c r="G33" s="20" t="s">
        <v>159</v>
      </c>
      <c r="H33" s="73">
        <v>1</v>
      </c>
      <c r="I33" s="73">
        <v>1</v>
      </c>
      <c r="J33" s="75">
        <v>1</v>
      </c>
      <c r="K33" s="71">
        <v>1</v>
      </c>
      <c r="L33" s="82">
        <v>1</v>
      </c>
      <c r="M33" s="82">
        <v>1</v>
      </c>
      <c r="N33" s="83">
        <v>1</v>
      </c>
      <c r="O33" s="82">
        <v>1</v>
      </c>
      <c r="P33" s="82"/>
      <c r="Q33" s="73"/>
      <c r="R33" s="65">
        <f t="shared" si="1"/>
        <v>2</v>
      </c>
      <c r="S33" s="30"/>
      <c r="T33" s="67">
        <v>3.5</v>
      </c>
      <c r="U33" s="5">
        <f t="shared" si="4"/>
        <v>0</v>
      </c>
      <c r="V33" s="5">
        <f t="shared" si="2"/>
        <v>0</v>
      </c>
      <c r="W33" s="7">
        <f t="shared" si="3"/>
        <v>3.9000000000000004</v>
      </c>
      <c r="X33"/>
      <c r="Y33"/>
      <c r="Z33"/>
      <c r="AA33"/>
    </row>
    <row r="34" spans="1:27" ht="15" thickBot="1" x14ac:dyDescent="0.35">
      <c r="B34" s="21" t="s">
        <v>177</v>
      </c>
      <c r="C34" s="28" t="s">
        <v>193</v>
      </c>
      <c r="D34" s="12">
        <v>1</v>
      </c>
      <c r="E34" s="12">
        <v>0</v>
      </c>
      <c r="F34" s="12">
        <f t="shared" ref="F34:F65" si="5">CEILING(D34,T$22+1)</f>
        <v>2</v>
      </c>
      <c r="G34" s="20" t="s">
        <v>179</v>
      </c>
      <c r="H34" s="73">
        <v>1</v>
      </c>
      <c r="I34" s="73">
        <v>1</v>
      </c>
      <c r="J34" s="75">
        <v>0</v>
      </c>
      <c r="K34" s="71">
        <v>1</v>
      </c>
      <c r="L34" s="82">
        <v>1</v>
      </c>
      <c r="M34" s="82">
        <v>1</v>
      </c>
      <c r="N34" s="83">
        <v>1</v>
      </c>
      <c r="O34" s="82">
        <v>1</v>
      </c>
      <c r="Q34" s="73"/>
      <c r="R34" s="65">
        <f t="shared" si="1"/>
        <v>2</v>
      </c>
      <c r="S34" s="30"/>
      <c r="T34" s="69">
        <v>4</v>
      </c>
      <c r="U34" s="43">
        <f t="shared" si="4"/>
        <v>0</v>
      </c>
      <c r="V34" s="43">
        <f t="shared" si="2"/>
        <v>0</v>
      </c>
      <c r="W34" s="8">
        <f t="shared" si="3"/>
        <v>3.9000000000000004</v>
      </c>
    </row>
    <row r="35" spans="1:27" s="30" customFormat="1" x14ac:dyDescent="0.3">
      <c r="A35" s="9"/>
      <c r="B35" s="21" t="s">
        <v>178</v>
      </c>
      <c r="C35" s="28" t="s">
        <v>193</v>
      </c>
      <c r="D35" s="12">
        <v>3</v>
      </c>
      <c r="E35" s="12">
        <v>0</v>
      </c>
      <c r="F35" s="12">
        <f t="shared" si="5"/>
        <v>4</v>
      </c>
      <c r="G35" s="20" t="s">
        <v>179</v>
      </c>
      <c r="H35" s="73">
        <v>1</v>
      </c>
      <c r="I35" s="73">
        <v>1</v>
      </c>
      <c r="J35" s="75">
        <v>1</v>
      </c>
      <c r="K35" s="31">
        <v>1</v>
      </c>
      <c r="L35" s="82">
        <v>1</v>
      </c>
      <c r="M35" s="82">
        <v>1</v>
      </c>
      <c r="N35" s="83">
        <v>1</v>
      </c>
      <c r="O35" s="82">
        <v>1</v>
      </c>
      <c r="P35" s="82"/>
      <c r="Q35" s="73"/>
      <c r="R35" s="65">
        <f t="shared" si="1"/>
        <v>2</v>
      </c>
      <c r="T35" s="3"/>
      <c r="U35"/>
      <c r="V35"/>
      <c r="W35" s="5"/>
      <c r="X35"/>
      <c r="Y35"/>
      <c r="Z35"/>
      <c r="AA35"/>
    </row>
    <row r="36" spans="1:27" x14ac:dyDescent="0.3">
      <c r="B36" s="21" t="s">
        <v>125</v>
      </c>
      <c r="C36" s="28" t="s">
        <v>193</v>
      </c>
      <c r="D36" s="12">
        <v>3</v>
      </c>
      <c r="E36" s="12">
        <v>0</v>
      </c>
      <c r="F36" s="12">
        <f t="shared" si="5"/>
        <v>4</v>
      </c>
      <c r="G36" s="20"/>
      <c r="H36" s="73"/>
      <c r="J36" s="75">
        <v>0</v>
      </c>
      <c r="K36" s="31">
        <v>1</v>
      </c>
      <c r="L36" s="81"/>
      <c r="M36" s="82"/>
      <c r="N36" s="83"/>
      <c r="O36" s="82">
        <v>1</v>
      </c>
      <c r="Q36" s="73"/>
      <c r="R36" s="65">
        <f t="shared" si="1"/>
        <v>1</v>
      </c>
      <c r="S36" s="30"/>
      <c r="T36" s="3"/>
      <c r="U36"/>
      <c r="V36"/>
      <c r="W36"/>
      <c r="X36" s="5"/>
      <c r="Y36" s="5"/>
      <c r="Z36" s="5"/>
      <c r="AA36" s="5"/>
    </row>
    <row r="37" spans="1:27" x14ac:dyDescent="0.3">
      <c r="B37" s="21" t="s">
        <v>97</v>
      </c>
      <c r="C37" s="28" t="s">
        <v>194</v>
      </c>
      <c r="D37" s="12">
        <v>2</v>
      </c>
      <c r="E37" s="12">
        <v>0</v>
      </c>
      <c r="F37" s="12">
        <f t="shared" si="5"/>
        <v>2</v>
      </c>
      <c r="G37" s="20" t="s">
        <v>92</v>
      </c>
      <c r="H37" s="73">
        <v>1</v>
      </c>
      <c r="J37" s="75">
        <v>1</v>
      </c>
      <c r="K37" s="31">
        <v>0</v>
      </c>
      <c r="L37" s="81"/>
      <c r="M37" s="82">
        <v>1</v>
      </c>
      <c r="N37" s="83">
        <v>1</v>
      </c>
      <c r="O37" s="82">
        <v>1</v>
      </c>
      <c r="Q37" s="73"/>
      <c r="R37" s="65">
        <f t="shared" si="1"/>
        <v>2</v>
      </c>
      <c r="S37" s="30"/>
      <c r="T37" s="3"/>
      <c r="U37" s="30"/>
      <c r="V37" s="30"/>
      <c r="W37" s="30"/>
    </row>
    <row r="38" spans="1:27" x14ac:dyDescent="0.3">
      <c r="B38" s="21" t="s">
        <v>98</v>
      </c>
      <c r="C38" s="28" t="s">
        <v>194</v>
      </c>
      <c r="D38" s="12">
        <v>4</v>
      </c>
      <c r="E38" s="12">
        <v>0</v>
      </c>
      <c r="F38" s="12">
        <f t="shared" si="5"/>
        <v>4</v>
      </c>
      <c r="G38" s="20" t="s">
        <v>182</v>
      </c>
      <c r="H38" s="73">
        <v>0.5</v>
      </c>
      <c r="J38" s="75">
        <v>1</v>
      </c>
      <c r="K38" s="31">
        <v>0</v>
      </c>
      <c r="L38" s="81"/>
      <c r="M38" s="82">
        <v>1</v>
      </c>
      <c r="N38" s="83">
        <v>1</v>
      </c>
      <c r="O38" s="82">
        <v>1</v>
      </c>
      <c r="Q38" s="73"/>
      <c r="R38" s="65">
        <f t="shared" si="1"/>
        <v>2</v>
      </c>
      <c r="S38" s="30"/>
      <c r="T38" s="3"/>
      <c r="U38"/>
      <c r="V38"/>
      <c r="W38"/>
      <c r="X38" s="30"/>
      <c r="Y38" s="30"/>
      <c r="Z38" s="30"/>
      <c r="AA38" s="30"/>
    </row>
    <row r="39" spans="1:27" x14ac:dyDescent="0.3">
      <c r="B39" s="21" t="s">
        <v>95</v>
      </c>
      <c r="C39" s="28" t="s">
        <v>194</v>
      </c>
      <c r="D39" s="12">
        <v>3</v>
      </c>
      <c r="E39" s="12">
        <v>0</v>
      </c>
      <c r="F39" s="12">
        <f t="shared" si="5"/>
        <v>4</v>
      </c>
      <c r="G39" s="20" t="s">
        <v>182</v>
      </c>
      <c r="H39" s="73">
        <v>1</v>
      </c>
      <c r="I39" s="73">
        <v>1</v>
      </c>
      <c r="J39" s="75">
        <v>1</v>
      </c>
      <c r="K39" s="31">
        <v>0</v>
      </c>
      <c r="L39" s="81"/>
      <c r="M39" s="82"/>
      <c r="N39" s="83"/>
      <c r="O39" s="82">
        <v>1</v>
      </c>
      <c r="Q39" s="73"/>
      <c r="R39" s="65">
        <f t="shared" si="1"/>
        <v>1</v>
      </c>
      <c r="S39" s="30"/>
      <c r="T39" s="70"/>
      <c r="U39"/>
      <c r="V39"/>
      <c r="W39"/>
    </row>
    <row r="40" spans="1:27" x14ac:dyDescent="0.3">
      <c r="B40" s="21" t="s">
        <v>126</v>
      </c>
      <c r="C40" s="28" t="s">
        <v>193</v>
      </c>
      <c r="D40" s="12">
        <v>7</v>
      </c>
      <c r="E40" s="12">
        <v>0</v>
      </c>
      <c r="F40" s="12">
        <f t="shared" si="5"/>
        <v>8</v>
      </c>
      <c r="G40" s="20" t="s">
        <v>219</v>
      </c>
      <c r="H40" s="73">
        <v>0.5</v>
      </c>
      <c r="I40" s="73">
        <v>1</v>
      </c>
      <c r="J40" s="75">
        <v>1</v>
      </c>
      <c r="K40" s="31">
        <v>1</v>
      </c>
      <c r="L40" s="82">
        <v>1</v>
      </c>
      <c r="M40" s="82">
        <v>1</v>
      </c>
      <c r="N40" s="83">
        <v>1</v>
      </c>
      <c r="O40" s="82">
        <v>1</v>
      </c>
      <c r="Q40" s="76"/>
      <c r="R40" s="79">
        <f t="shared" si="1"/>
        <v>2</v>
      </c>
      <c r="S40" s="30"/>
      <c r="T40" s="70"/>
      <c r="U40"/>
      <c r="V40"/>
      <c r="W40"/>
    </row>
    <row r="41" spans="1:27" x14ac:dyDescent="0.3">
      <c r="A41" s="10" t="s">
        <v>78</v>
      </c>
      <c r="B41" s="24" t="s">
        <v>127</v>
      </c>
      <c r="C41" s="24" t="s">
        <v>193</v>
      </c>
      <c r="D41" s="11">
        <v>2</v>
      </c>
      <c r="E41" s="11">
        <v>0</v>
      </c>
      <c r="F41" s="11">
        <f t="shared" si="5"/>
        <v>2</v>
      </c>
      <c r="G41" s="19" t="s">
        <v>157</v>
      </c>
      <c r="H41" s="74">
        <v>1</v>
      </c>
      <c r="I41" s="74">
        <v>1</v>
      </c>
      <c r="J41" s="74">
        <v>1</v>
      </c>
      <c r="K41" s="32">
        <v>1</v>
      </c>
      <c r="L41" s="84">
        <v>1</v>
      </c>
      <c r="M41" s="84">
        <v>1</v>
      </c>
      <c r="N41" s="84">
        <v>1</v>
      </c>
      <c r="O41" s="84">
        <v>1</v>
      </c>
      <c r="P41" s="84"/>
      <c r="Q41" s="75"/>
      <c r="R41" s="65">
        <f t="shared" si="1"/>
        <v>2</v>
      </c>
      <c r="S41" s="30"/>
      <c r="T41" s="70"/>
      <c r="U41"/>
      <c r="V41"/>
      <c r="W41" s="5"/>
    </row>
    <row r="42" spans="1:27" s="5" customFormat="1" x14ac:dyDescent="0.3">
      <c r="A42" s="9"/>
      <c r="B42" s="21" t="s">
        <v>169</v>
      </c>
      <c r="C42" s="28" t="s">
        <v>193</v>
      </c>
      <c r="D42" s="12">
        <v>5</v>
      </c>
      <c r="E42" s="12">
        <v>0</v>
      </c>
      <c r="F42" s="12">
        <f t="shared" si="5"/>
        <v>6</v>
      </c>
      <c r="G42" s="20"/>
      <c r="H42" s="73">
        <v>1</v>
      </c>
      <c r="I42" s="73">
        <v>1</v>
      </c>
      <c r="J42" s="75">
        <v>1</v>
      </c>
      <c r="K42" s="31">
        <v>1</v>
      </c>
      <c r="L42" s="82">
        <v>1</v>
      </c>
      <c r="M42" s="82"/>
      <c r="N42" s="83"/>
      <c r="O42" s="82">
        <v>1</v>
      </c>
      <c r="P42" s="82"/>
      <c r="Q42" s="73"/>
      <c r="R42" s="65">
        <f t="shared" si="1"/>
        <v>1</v>
      </c>
      <c r="S42" s="30"/>
      <c r="T42" s="3"/>
      <c r="U42"/>
      <c r="V42"/>
      <c r="W42"/>
      <c r="X42"/>
      <c r="Y42"/>
      <c r="Z42"/>
      <c r="AA42"/>
    </row>
    <row r="43" spans="1:27" x14ac:dyDescent="0.3">
      <c r="B43" s="21" t="s">
        <v>180</v>
      </c>
      <c r="C43" s="28" t="s">
        <v>193</v>
      </c>
      <c r="D43" s="12">
        <v>4</v>
      </c>
      <c r="E43" s="12">
        <v>0</v>
      </c>
      <c r="F43" s="12">
        <f t="shared" si="5"/>
        <v>4</v>
      </c>
      <c r="G43" s="20" t="s">
        <v>184</v>
      </c>
      <c r="H43" s="73"/>
      <c r="J43" s="75"/>
      <c r="K43" s="30"/>
      <c r="L43" s="81"/>
      <c r="M43" s="82"/>
      <c r="N43" s="83"/>
      <c r="O43" s="82"/>
      <c r="Q43" s="73"/>
      <c r="R43" s="65">
        <f t="shared" si="1"/>
        <v>0</v>
      </c>
      <c r="S43" s="30"/>
      <c r="T43" s="13"/>
      <c r="U43" s="5"/>
      <c r="V43"/>
      <c r="W43"/>
    </row>
    <row r="44" spans="1:27" x14ac:dyDescent="0.3">
      <c r="B44" s="21" t="s">
        <v>128</v>
      </c>
      <c r="C44" s="28" t="s">
        <v>194</v>
      </c>
      <c r="D44" s="12">
        <v>6</v>
      </c>
      <c r="E44" s="12">
        <v>0</v>
      </c>
      <c r="F44" s="12">
        <f t="shared" si="5"/>
        <v>6</v>
      </c>
      <c r="G44" s="20" t="s">
        <v>92</v>
      </c>
      <c r="H44" s="73">
        <v>1</v>
      </c>
      <c r="I44" s="73">
        <v>1</v>
      </c>
      <c r="J44" s="75">
        <v>1</v>
      </c>
      <c r="K44" s="31">
        <v>1</v>
      </c>
      <c r="L44" s="82">
        <v>1</v>
      </c>
      <c r="M44" s="82"/>
      <c r="N44" s="83"/>
      <c r="O44" s="82"/>
      <c r="Q44" s="73"/>
      <c r="R44" s="65">
        <f t="shared" si="1"/>
        <v>0</v>
      </c>
      <c r="S44" s="30"/>
      <c r="T44" s="3"/>
      <c r="U44"/>
      <c r="V44"/>
      <c r="W44" s="5"/>
    </row>
    <row r="45" spans="1:27" x14ac:dyDescent="0.3">
      <c r="B45" s="21" t="s">
        <v>200</v>
      </c>
      <c r="C45" s="28" t="s">
        <v>195</v>
      </c>
      <c r="D45" s="12">
        <v>5</v>
      </c>
      <c r="E45" s="12">
        <v>2</v>
      </c>
      <c r="F45" s="12">
        <f t="shared" si="5"/>
        <v>6</v>
      </c>
      <c r="G45" s="20" t="s">
        <v>156</v>
      </c>
      <c r="H45" s="73">
        <v>1</v>
      </c>
      <c r="J45" s="75">
        <v>1</v>
      </c>
      <c r="K45" s="31">
        <v>1</v>
      </c>
      <c r="L45" s="81"/>
      <c r="M45" s="82">
        <v>1</v>
      </c>
      <c r="N45" s="83">
        <v>1</v>
      </c>
      <c r="O45" s="82">
        <v>1</v>
      </c>
      <c r="Q45" s="76"/>
      <c r="R45" s="79">
        <f t="shared" si="1"/>
        <v>2</v>
      </c>
      <c r="S45" s="30"/>
      <c r="T45" s="3"/>
      <c r="U45"/>
      <c r="V45"/>
      <c r="W45"/>
    </row>
    <row r="46" spans="1:27" s="30" customFormat="1" x14ac:dyDescent="0.3">
      <c r="A46" s="10" t="s">
        <v>79</v>
      </c>
      <c r="B46" s="24" t="s">
        <v>204</v>
      </c>
      <c r="C46" s="24" t="s">
        <v>193</v>
      </c>
      <c r="D46" s="11">
        <v>7</v>
      </c>
      <c r="E46" s="11">
        <v>1</v>
      </c>
      <c r="F46" s="11">
        <f t="shared" si="5"/>
        <v>8</v>
      </c>
      <c r="G46" s="19" t="s">
        <v>211</v>
      </c>
      <c r="H46" s="74">
        <v>1</v>
      </c>
      <c r="I46" s="74">
        <v>1</v>
      </c>
      <c r="J46" s="74">
        <v>1</v>
      </c>
      <c r="K46" s="32">
        <v>0.5</v>
      </c>
      <c r="L46" s="84"/>
      <c r="M46" s="84">
        <v>1</v>
      </c>
      <c r="N46" s="84"/>
      <c r="O46" s="84">
        <v>1</v>
      </c>
      <c r="P46" s="84"/>
      <c r="Q46" s="75"/>
      <c r="R46" s="65">
        <f t="shared" si="1"/>
        <v>1</v>
      </c>
      <c r="T46" s="3"/>
    </row>
    <row r="47" spans="1:27" x14ac:dyDescent="0.3">
      <c r="A47" s="27"/>
      <c r="B47" s="28" t="s">
        <v>205</v>
      </c>
      <c r="C47" s="28" t="s">
        <v>193</v>
      </c>
      <c r="D47" s="12">
        <v>4</v>
      </c>
      <c r="E47" s="12">
        <v>2</v>
      </c>
      <c r="F47" s="12">
        <f t="shared" si="5"/>
        <v>4</v>
      </c>
      <c r="G47" s="20" t="s">
        <v>207</v>
      </c>
      <c r="H47" s="75"/>
      <c r="I47" s="75"/>
      <c r="J47" s="75"/>
      <c r="K47" s="75">
        <v>0.5</v>
      </c>
      <c r="L47" s="83">
        <v>1</v>
      </c>
      <c r="M47" s="83"/>
      <c r="N47" s="83">
        <v>1</v>
      </c>
      <c r="O47" s="83"/>
      <c r="P47" s="83"/>
      <c r="Q47" s="75"/>
      <c r="R47" s="65">
        <f t="shared" si="1"/>
        <v>1</v>
      </c>
      <c r="S47" s="30"/>
      <c r="T47" s="3"/>
      <c r="U47"/>
      <c r="V47"/>
      <c r="W47" s="5"/>
      <c r="X47" s="5"/>
      <c r="Y47" s="5"/>
      <c r="Z47" s="5"/>
      <c r="AA47" s="5"/>
    </row>
    <row r="48" spans="1:27" s="30" customFormat="1" x14ac:dyDescent="0.3">
      <c r="A48" s="9"/>
      <c r="B48" s="21" t="s">
        <v>93</v>
      </c>
      <c r="C48" s="28" t="s">
        <v>193</v>
      </c>
      <c r="D48" s="12">
        <v>6</v>
      </c>
      <c r="E48" s="12">
        <v>3</v>
      </c>
      <c r="F48" s="12">
        <f t="shared" si="5"/>
        <v>6</v>
      </c>
      <c r="G48" s="20" t="s">
        <v>211</v>
      </c>
      <c r="H48" s="73">
        <v>1</v>
      </c>
      <c r="I48" s="73">
        <v>1</v>
      </c>
      <c r="J48" s="75">
        <v>0.9</v>
      </c>
      <c r="K48" s="31">
        <v>0.5</v>
      </c>
      <c r="L48" s="82"/>
      <c r="M48" s="82">
        <v>1</v>
      </c>
      <c r="N48" s="83"/>
      <c r="O48" s="82">
        <v>1</v>
      </c>
      <c r="P48" s="82"/>
      <c r="Q48" s="73"/>
      <c r="R48" s="65">
        <f t="shared" si="1"/>
        <v>1</v>
      </c>
      <c r="T48" s="3"/>
      <c r="W48" s="5"/>
      <c r="X48" s="5"/>
      <c r="Y48" s="5"/>
      <c r="Z48" s="5"/>
      <c r="AA48" s="5"/>
    </row>
    <row r="49" spans="1:27" s="5" customFormat="1" x14ac:dyDescent="0.3">
      <c r="A49" s="9"/>
      <c r="B49" s="21" t="s">
        <v>206</v>
      </c>
      <c r="C49" s="28" t="s">
        <v>193</v>
      </c>
      <c r="D49" s="12">
        <v>8</v>
      </c>
      <c r="E49" s="12">
        <v>4</v>
      </c>
      <c r="F49" s="12">
        <f t="shared" si="5"/>
        <v>8</v>
      </c>
      <c r="G49" s="20" t="s">
        <v>207</v>
      </c>
      <c r="H49" s="73"/>
      <c r="I49" s="73"/>
      <c r="J49" s="75"/>
      <c r="K49" s="73">
        <v>0.5</v>
      </c>
      <c r="L49" s="82">
        <v>1</v>
      </c>
      <c r="M49" s="82"/>
      <c r="N49" s="83">
        <v>1</v>
      </c>
      <c r="O49" s="82"/>
      <c r="P49" s="82"/>
      <c r="Q49" s="73"/>
      <c r="R49" s="65">
        <f t="shared" si="1"/>
        <v>1</v>
      </c>
      <c r="S49" s="30"/>
      <c r="T49" s="13"/>
      <c r="V49"/>
      <c r="W49"/>
      <c r="X49"/>
      <c r="Y49"/>
      <c r="Z49"/>
      <c r="AA49"/>
    </row>
    <row r="50" spans="1:27" x14ac:dyDescent="0.3">
      <c r="B50" s="21" t="s">
        <v>129</v>
      </c>
      <c r="C50" s="28" t="s">
        <v>193</v>
      </c>
      <c r="D50" s="12">
        <v>2</v>
      </c>
      <c r="E50" s="12">
        <v>0</v>
      </c>
      <c r="F50" s="12">
        <f t="shared" si="5"/>
        <v>2</v>
      </c>
      <c r="G50" s="20"/>
      <c r="H50" s="73">
        <v>0.5</v>
      </c>
      <c r="I50" s="73">
        <v>1</v>
      </c>
      <c r="J50" s="75">
        <v>0.1</v>
      </c>
      <c r="K50" s="73">
        <v>1</v>
      </c>
      <c r="L50" s="82">
        <v>1</v>
      </c>
      <c r="M50" s="82"/>
      <c r="N50" s="83"/>
      <c r="O50" s="82">
        <v>1</v>
      </c>
      <c r="Q50" s="73"/>
      <c r="R50" s="65">
        <f t="shared" si="1"/>
        <v>1</v>
      </c>
      <c r="S50" s="30"/>
      <c r="T50" s="3"/>
      <c r="U50"/>
      <c r="V50" s="5"/>
      <c r="W50"/>
    </row>
    <row r="51" spans="1:27" x14ac:dyDescent="0.3">
      <c r="B51" s="21" t="s">
        <v>199</v>
      </c>
      <c r="C51" s="28" t="s">
        <v>195</v>
      </c>
      <c r="D51" s="12">
        <v>4</v>
      </c>
      <c r="E51" s="12">
        <v>0</v>
      </c>
      <c r="F51" s="12">
        <f t="shared" si="5"/>
        <v>4</v>
      </c>
      <c r="G51" s="20" t="s">
        <v>198</v>
      </c>
      <c r="H51" s="73"/>
      <c r="I51" s="73">
        <v>1</v>
      </c>
      <c r="J51" s="75">
        <v>1</v>
      </c>
      <c r="K51" s="31"/>
      <c r="L51" s="81"/>
      <c r="M51" s="82">
        <v>1</v>
      </c>
      <c r="N51" s="83"/>
      <c r="O51" s="82"/>
      <c r="Q51" s="76"/>
      <c r="R51" s="79">
        <f t="shared" si="1"/>
        <v>0</v>
      </c>
      <c r="S51" s="30"/>
      <c r="T51" s="3"/>
      <c r="U51"/>
      <c r="V51"/>
      <c r="W51"/>
    </row>
    <row r="52" spans="1:27" s="5" customFormat="1" x14ac:dyDescent="0.3">
      <c r="A52" s="10" t="s">
        <v>80</v>
      </c>
      <c r="B52" s="24" t="s">
        <v>197</v>
      </c>
      <c r="C52" s="24" t="s">
        <v>193</v>
      </c>
      <c r="D52" s="11">
        <v>2</v>
      </c>
      <c r="E52" s="11">
        <v>0</v>
      </c>
      <c r="F52" s="11">
        <f t="shared" si="5"/>
        <v>2</v>
      </c>
      <c r="G52" s="19"/>
      <c r="H52" s="74">
        <v>1</v>
      </c>
      <c r="I52" s="74">
        <v>1</v>
      </c>
      <c r="J52" s="74"/>
      <c r="K52" s="32">
        <v>1</v>
      </c>
      <c r="L52" s="84">
        <v>1</v>
      </c>
      <c r="M52" s="84">
        <v>1</v>
      </c>
      <c r="N52" s="84"/>
      <c r="O52" s="84"/>
      <c r="P52" s="84"/>
      <c r="Q52" s="75"/>
      <c r="R52" s="65">
        <f t="shared" si="1"/>
        <v>0</v>
      </c>
      <c r="S52" s="30"/>
      <c r="T52" s="3"/>
      <c r="U52"/>
      <c r="V52"/>
      <c r="W52"/>
      <c r="X52"/>
      <c r="Y52"/>
      <c r="Z52"/>
      <c r="AA52"/>
    </row>
    <row r="53" spans="1:27" x14ac:dyDescent="0.3">
      <c r="B53" s="21" t="s">
        <v>130</v>
      </c>
      <c r="C53" s="28" t="s">
        <v>193</v>
      </c>
      <c r="D53" s="12">
        <v>3</v>
      </c>
      <c r="E53" s="12">
        <v>0</v>
      </c>
      <c r="F53" s="12">
        <f t="shared" si="5"/>
        <v>4</v>
      </c>
      <c r="G53" s="20"/>
      <c r="H53" s="73">
        <v>1</v>
      </c>
      <c r="I53" s="73">
        <v>1</v>
      </c>
      <c r="J53" s="75"/>
      <c r="K53" s="31">
        <v>1</v>
      </c>
      <c r="L53" s="82">
        <v>1</v>
      </c>
      <c r="M53" s="82">
        <v>1</v>
      </c>
      <c r="N53" s="83"/>
      <c r="O53" s="82"/>
      <c r="Q53" s="76"/>
      <c r="R53" s="79">
        <f t="shared" si="1"/>
        <v>0</v>
      </c>
      <c r="S53" s="30"/>
      <c r="T53" s="3"/>
      <c r="U53"/>
      <c r="V53"/>
      <c r="W53"/>
    </row>
    <row r="54" spans="1:27" s="5" customFormat="1" x14ac:dyDescent="0.3">
      <c r="A54" s="10" t="s">
        <v>81</v>
      </c>
      <c r="B54" s="24" t="s">
        <v>131</v>
      </c>
      <c r="C54" s="24" t="s">
        <v>193</v>
      </c>
      <c r="D54" s="11">
        <v>2</v>
      </c>
      <c r="E54" s="11">
        <v>0</v>
      </c>
      <c r="F54" s="11">
        <f t="shared" si="5"/>
        <v>2</v>
      </c>
      <c r="G54" s="19"/>
      <c r="H54" s="74"/>
      <c r="I54" s="74">
        <v>1</v>
      </c>
      <c r="J54" s="74">
        <v>0</v>
      </c>
      <c r="K54" s="32">
        <v>0</v>
      </c>
      <c r="L54" s="84">
        <v>1</v>
      </c>
      <c r="M54" s="84">
        <v>1</v>
      </c>
      <c r="N54" s="84">
        <v>1</v>
      </c>
      <c r="O54" s="84"/>
      <c r="P54" s="84"/>
      <c r="Q54" s="75"/>
      <c r="R54" s="65">
        <f t="shared" si="1"/>
        <v>1</v>
      </c>
      <c r="S54" s="30"/>
      <c r="T54" s="13"/>
      <c r="W54"/>
      <c r="X54"/>
      <c r="Y54"/>
      <c r="Z54"/>
      <c r="AA54"/>
    </row>
    <row r="55" spans="1:27" x14ac:dyDescent="0.3">
      <c r="B55" s="21" t="s">
        <v>132</v>
      </c>
      <c r="C55" s="28" t="s">
        <v>193</v>
      </c>
      <c r="D55" s="12">
        <v>3</v>
      </c>
      <c r="E55" s="12">
        <v>0</v>
      </c>
      <c r="F55" s="12">
        <f t="shared" si="5"/>
        <v>4</v>
      </c>
      <c r="G55" s="20"/>
      <c r="H55" s="73"/>
      <c r="I55" s="73">
        <v>1</v>
      </c>
      <c r="J55" s="75">
        <v>0</v>
      </c>
      <c r="K55" s="71">
        <v>0</v>
      </c>
      <c r="L55" s="82">
        <v>1</v>
      </c>
      <c r="M55" s="82">
        <v>1</v>
      </c>
      <c r="N55" s="83">
        <v>1</v>
      </c>
      <c r="O55" s="82">
        <v>0</v>
      </c>
      <c r="Q55" s="73"/>
      <c r="R55" s="65">
        <f t="shared" si="1"/>
        <v>1</v>
      </c>
      <c r="S55" s="30"/>
      <c r="T55" s="3"/>
      <c r="U55"/>
      <c r="V55"/>
      <c r="W55"/>
    </row>
    <row r="56" spans="1:27" x14ac:dyDescent="0.3">
      <c r="B56" s="21" t="s">
        <v>133</v>
      </c>
      <c r="C56" s="28" t="s">
        <v>193</v>
      </c>
      <c r="D56" s="12">
        <v>3</v>
      </c>
      <c r="E56" s="12">
        <v>0</v>
      </c>
      <c r="F56" s="12">
        <f t="shared" si="5"/>
        <v>4</v>
      </c>
      <c r="G56" s="20"/>
      <c r="H56" s="73"/>
      <c r="J56" s="75">
        <v>0</v>
      </c>
      <c r="K56" s="71">
        <v>0</v>
      </c>
      <c r="L56" s="82">
        <v>1</v>
      </c>
      <c r="M56" s="82">
        <v>1</v>
      </c>
      <c r="N56" s="83">
        <v>0.5</v>
      </c>
      <c r="O56" s="82">
        <v>0</v>
      </c>
      <c r="Q56" s="73"/>
      <c r="R56" s="65">
        <f t="shared" si="1"/>
        <v>0.5</v>
      </c>
      <c r="S56" s="30"/>
      <c r="T56" s="3"/>
      <c r="U56"/>
      <c r="V56"/>
      <c r="W56"/>
      <c r="X56" s="30"/>
      <c r="Y56" s="5"/>
      <c r="Z56" s="5"/>
      <c r="AA56" s="5"/>
    </row>
    <row r="57" spans="1:27" x14ac:dyDescent="0.3">
      <c r="B57" s="21" t="s">
        <v>134</v>
      </c>
      <c r="C57" s="28" t="s">
        <v>193</v>
      </c>
      <c r="D57" s="12">
        <v>3</v>
      </c>
      <c r="E57" s="12">
        <v>0</v>
      </c>
      <c r="F57" s="12">
        <f t="shared" si="5"/>
        <v>4</v>
      </c>
      <c r="G57" s="20"/>
      <c r="H57" s="73"/>
      <c r="J57" s="75">
        <v>0</v>
      </c>
      <c r="K57" s="71">
        <v>0</v>
      </c>
      <c r="L57" s="82">
        <v>1</v>
      </c>
      <c r="M57" s="82"/>
      <c r="N57" s="83"/>
      <c r="O57" s="82"/>
      <c r="Q57" s="73"/>
      <c r="R57" s="65">
        <f t="shared" si="1"/>
        <v>0</v>
      </c>
      <c r="S57" s="30"/>
      <c r="T57" s="3"/>
      <c r="U57"/>
      <c r="V57"/>
      <c r="W57"/>
      <c r="X57" s="30"/>
    </row>
    <row r="58" spans="1:27" x14ac:dyDescent="0.3">
      <c r="B58" s="21" t="s">
        <v>135</v>
      </c>
      <c r="C58" s="28" t="s">
        <v>193</v>
      </c>
      <c r="D58" s="12">
        <v>2</v>
      </c>
      <c r="E58" s="12">
        <v>0</v>
      </c>
      <c r="F58" s="12">
        <f t="shared" si="5"/>
        <v>2</v>
      </c>
      <c r="G58" s="20"/>
      <c r="H58" s="73">
        <v>0.5</v>
      </c>
      <c r="I58" s="73">
        <v>1</v>
      </c>
      <c r="J58" s="75">
        <v>0.1</v>
      </c>
      <c r="K58" s="71">
        <v>0.2</v>
      </c>
      <c r="L58" s="82">
        <v>1</v>
      </c>
      <c r="M58" s="82">
        <v>1</v>
      </c>
      <c r="N58" s="83">
        <v>1</v>
      </c>
      <c r="O58" s="82">
        <v>0.5</v>
      </c>
      <c r="Q58" s="73"/>
      <c r="R58" s="65">
        <f t="shared" si="1"/>
        <v>1.5</v>
      </c>
      <c r="S58" s="30"/>
      <c r="T58" s="3"/>
      <c r="U58"/>
      <c r="V58"/>
      <c r="W58"/>
      <c r="X58" s="30"/>
    </row>
    <row r="59" spans="1:27" x14ac:dyDescent="0.3">
      <c r="B59" s="21" t="s">
        <v>136</v>
      </c>
      <c r="C59" s="28" t="s">
        <v>195</v>
      </c>
      <c r="D59" s="12">
        <v>5</v>
      </c>
      <c r="E59" s="12">
        <v>1</v>
      </c>
      <c r="F59" s="12">
        <f t="shared" si="5"/>
        <v>6</v>
      </c>
      <c r="G59" s="20"/>
      <c r="H59" s="73">
        <v>1</v>
      </c>
      <c r="I59" s="73">
        <v>1</v>
      </c>
      <c r="J59" s="75">
        <v>0</v>
      </c>
      <c r="K59" s="71">
        <v>1</v>
      </c>
      <c r="L59" s="81"/>
      <c r="M59" s="82">
        <v>1</v>
      </c>
      <c r="N59" s="83">
        <v>1</v>
      </c>
      <c r="O59" s="82">
        <v>1</v>
      </c>
      <c r="Q59" s="73"/>
      <c r="R59" s="65">
        <f t="shared" si="1"/>
        <v>2</v>
      </c>
      <c r="S59" s="30"/>
      <c r="T59" s="3"/>
      <c r="U59"/>
      <c r="V59" s="5"/>
      <c r="W59"/>
      <c r="X59" s="30"/>
    </row>
    <row r="60" spans="1:27" s="30" customFormat="1" x14ac:dyDescent="0.3">
      <c r="A60" s="9"/>
      <c r="B60" t="s">
        <v>228</v>
      </c>
      <c r="C60" s="28" t="s">
        <v>194</v>
      </c>
      <c r="D60" s="12">
        <v>4</v>
      </c>
      <c r="E60" s="12">
        <v>0</v>
      </c>
      <c r="F60" s="12">
        <f t="shared" si="5"/>
        <v>4</v>
      </c>
      <c r="G60" s="20" t="s">
        <v>231</v>
      </c>
      <c r="H60" s="73"/>
      <c r="I60" s="73"/>
      <c r="J60" s="75">
        <v>1</v>
      </c>
      <c r="K60" s="71"/>
      <c r="L60" s="82"/>
      <c r="M60" s="82"/>
      <c r="N60" s="83"/>
      <c r="O60" s="82"/>
      <c r="P60" s="82"/>
      <c r="Q60" s="73"/>
      <c r="R60" s="65">
        <f t="shared" si="1"/>
        <v>0</v>
      </c>
      <c r="T60" s="3"/>
      <c r="V60" s="5"/>
    </row>
    <row r="61" spans="1:27" x14ac:dyDescent="0.3">
      <c r="B61" s="21" t="s">
        <v>137</v>
      </c>
      <c r="C61" s="28" t="s">
        <v>195</v>
      </c>
      <c r="D61" s="12">
        <v>5</v>
      </c>
      <c r="E61" s="12">
        <v>0</v>
      </c>
      <c r="F61" s="12">
        <f t="shared" si="5"/>
        <v>6</v>
      </c>
      <c r="G61" s="20"/>
      <c r="H61" s="73">
        <v>1</v>
      </c>
      <c r="J61" s="75">
        <v>0.1</v>
      </c>
      <c r="K61" s="71">
        <v>1</v>
      </c>
      <c r="L61" s="81"/>
      <c r="M61" s="82">
        <v>1</v>
      </c>
      <c r="N61" s="83">
        <v>1</v>
      </c>
      <c r="O61" s="82">
        <v>1</v>
      </c>
      <c r="Q61" s="73"/>
      <c r="R61" s="65">
        <f t="shared" si="1"/>
        <v>2</v>
      </c>
      <c r="S61" s="30"/>
      <c r="T61" s="3"/>
      <c r="U61"/>
      <c r="V61"/>
      <c r="W61"/>
      <c r="X61" s="30"/>
    </row>
    <row r="62" spans="1:27" s="30" customFormat="1" x14ac:dyDescent="0.3">
      <c r="A62" s="9"/>
      <c r="B62" s="21" t="s">
        <v>227</v>
      </c>
      <c r="C62" s="28" t="s">
        <v>193</v>
      </c>
      <c r="D62" s="12">
        <v>3</v>
      </c>
      <c r="E62" s="12">
        <v>0</v>
      </c>
      <c r="F62" s="12">
        <f t="shared" si="5"/>
        <v>4</v>
      </c>
      <c r="G62" s="20" t="s">
        <v>225</v>
      </c>
      <c r="H62" s="73"/>
      <c r="I62" s="73"/>
      <c r="J62" s="75"/>
      <c r="K62" s="71"/>
      <c r="L62" s="82"/>
      <c r="M62" s="82">
        <v>1</v>
      </c>
      <c r="N62" s="83">
        <v>1</v>
      </c>
      <c r="O62" s="82"/>
      <c r="P62" s="82"/>
      <c r="Q62" s="73"/>
      <c r="R62" s="65">
        <f t="shared" si="1"/>
        <v>1</v>
      </c>
      <c r="T62" s="3"/>
    </row>
    <row r="63" spans="1:27" x14ac:dyDescent="0.3">
      <c r="B63" s="21" t="s">
        <v>226</v>
      </c>
      <c r="C63" s="28" t="s">
        <v>193</v>
      </c>
      <c r="D63" s="12">
        <v>1</v>
      </c>
      <c r="E63" s="12">
        <v>0</v>
      </c>
      <c r="F63" s="12">
        <f t="shared" si="5"/>
        <v>2</v>
      </c>
      <c r="G63" s="20" t="s">
        <v>181</v>
      </c>
      <c r="H63" s="73">
        <v>1</v>
      </c>
      <c r="I63" s="73">
        <v>1</v>
      </c>
      <c r="J63" s="75">
        <v>1</v>
      </c>
      <c r="K63" s="71">
        <v>1</v>
      </c>
      <c r="L63" s="82">
        <v>1</v>
      </c>
      <c r="M63" s="82">
        <v>0</v>
      </c>
      <c r="N63" s="83">
        <v>0</v>
      </c>
      <c r="O63" s="82">
        <v>1</v>
      </c>
      <c r="Q63" s="73"/>
      <c r="R63" s="65">
        <f t="shared" si="1"/>
        <v>1</v>
      </c>
      <c r="S63" s="30"/>
      <c r="T63" s="3"/>
      <c r="U63"/>
      <c r="V63"/>
      <c r="W63" s="5"/>
      <c r="X63" s="30"/>
    </row>
    <row r="64" spans="1:27" x14ac:dyDescent="0.3">
      <c r="B64" s="21" t="s">
        <v>96</v>
      </c>
      <c r="C64" s="28" t="s">
        <v>195</v>
      </c>
      <c r="D64" s="12">
        <v>3</v>
      </c>
      <c r="E64" s="12">
        <v>0</v>
      </c>
      <c r="F64" s="12">
        <f t="shared" si="5"/>
        <v>4</v>
      </c>
      <c r="G64" s="20" t="s">
        <v>182</v>
      </c>
      <c r="H64" s="73"/>
      <c r="J64" s="75">
        <v>0.5</v>
      </c>
      <c r="K64" s="30"/>
      <c r="L64" s="81"/>
      <c r="M64" s="82">
        <v>1</v>
      </c>
      <c r="N64" s="83">
        <v>0.5</v>
      </c>
      <c r="O64" s="82">
        <v>1</v>
      </c>
      <c r="Q64" s="73"/>
      <c r="R64" s="65">
        <f t="shared" si="1"/>
        <v>1.5</v>
      </c>
      <c r="S64" s="30"/>
      <c r="T64" s="3"/>
      <c r="U64"/>
      <c r="V64"/>
      <c r="W64"/>
      <c r="X64" s="30"/>
    </row>
    <row r="65" spans="1:27" x14ac:dyDescent="0.3">
      <c r="B65" s="21" t="s">
        <v>138</v>
      </c>
      <c r="C65" s="28" t="s">
        <v>194</v>
      </c>
      <c r="D65" s="12">
        <v>5</v>
      </c>
      <c r="E65" s="12">
        <v>0</v>
      </c>
      <c r="F65" s="12">
        <f t="shared" si="5"/>
        <v>6</v>
      </c>
      <c r="G65" s="20" t="s">
        <v>92</v>
      </c>
      <c r="H65" s="73"/>
      <c r="I65" s="73">
        <v>1</v>
      </c>
      <c r="J65" s="75">
        <v>1</v>
      </c>
      <c r="K65" s="31">
        <v>0</v>
      </c>
      <c r="L65" s="81"/>
      <c r="M65" s="82">
        <v>0</v>
      </c>
      <c r="N65" s="83"/>
      <c r="O65" s="82">
        <v>1</v>
      </c>
      <c r="Q65" s="73"/>
      <c r="R65" s="65">
        <f t="shared" si="1"/>
        <v>1</v>
      </c>
      <c r="S65" s="30"/>
      <c r="T65" s="3"/>
      <c r="U65"/>
      <c r="V65"/>
      <c r="W65"/>
      <c r="X65" s="30"/>
    </row>
    <row r="66" spans="1:27" x14ac:dyDescent="0.3">
      <c r="B66" s="21" t="s">
        <v>139</v>
      </c>
      <c r="C66" s="28" t="s">
        <v>194</v>
      </c>
      <c r="D66" s="12">
        <v>9</v>
      </c>
      <c r="E66" s="12">
        <v>2</v>
      </c>
      <c r="F66" s="12">
        <f t="shared" ref="F66:F85" si="6">CEILING(D66,T$22+1)</f>
        <v>10</v>
      </c>
      <c r="G66" s="20"/>
      <c r="H66" s="73"/>
      <c r="J66" s="75">
        <v>0</v>
      </c>
      <c r="K66" s="30"/>
      <c r="L66" s="81"/>
      <c r="M66" s="82"/>
      <c r="N66" s="83">
        <v>1</v>
      </c>
      <c r="O66" s="82"/>
      <c r="Q66" s="73"/>
      <c r="R66" s="65">
        <f t="shared" si="1"/>
        <v>1</v>
      </c>
      <c r="S66" s="30"/>
      <c r="T66" s="3"/>
      <c r="U66"/>
      <c r="V66"/>
      <c r="W66"/>
      <c r="X66" s="30"/>
      <c r="Y66" s="5"/>
      <c r="Z66" s="5"/>
      <c r="AA66" s="5"/>
    </row>
    <row r="67" spans="1:27" x14ac:dyDescent="0.3">
      <c r="B67" s="21" t="s">
        <v>140</v>
      </c>
      <c r="C67" s="28" t="s">
        <v>194</v>
      </c>
      <c r="D67" s="12">
        <v>7</v>
      </c>
      <c r="E67" s="12">
        <v>1</v>
      </c>
      <c r="F67" s="12">
        <f t="shared" si="6"/>
        <v>8</v>
      </c>
      <c r="G67" s="20"/>
      <c r="H67" s="73"/>
      <c r="J67" s="75"/>
      <c r="K67" s="30"/>
      <c r="L67" s="81"/>
      <c r="M67" s="82">
        <v>0</v>
      </c>
      <c r="N67" s="83">
        <v>1</v>
      </c>
      <c r="O67" s="82"/>
      <c r="Q67" s="73"/>
      <c r="R67" s="65">
        <f t="shared" ref="R67:R85" si="7">SUM(N67:Q67)</f>
        <v>1</v>
      </c>
      <c r="S67" s="30"/>
      <c r="T67" s="3"/>
      <c r="U67"/>
      <c r="V67"/>
      <c r="W67" s="5"/>
      <c r="X67" s="30"/>
    </row>
    <row r="68" spans="1:27" x14ac:dyDescent="0.3">
      <c r="B68" s="21" t="s">
        <v>141</v>
      </c>
      <c r="C68" s="28" t="s">
        <v>194</v>
      </c>
      <c r="D68" s="12">
        <v>5</v>
      </c>
      <c r="E68" s="12">
        <v>0</v>
      </c>
      <c r="F68" s="12">
        <f t="shared" si="6"/>
        <v>6</v>
      </c>
      <c r="G68" s="20" t="s">
        <v>183</v>
      </c>
      <c r="H68" s="73"/>
      <c r="I68" s="73">
        <v>1</v>
      </c>
      <c r="J68" s="75">
        <v>1</v>
      </c>
      <c r="K68" s="31"/>
      <c r="L68" s="81"/>
      <c r="M68" s="82">
        <v>0</v>
      </c>
      <c r="N68" s="83"/>
      <c r="O68" s="82">
        <v>1</v>
      </c>
      <c r="Q68" s="76"/>
      <c r="R68" s="79">
        <f t="shared" si="7"/>
        <v>1</v>
      </c>
      <c r="S68" s="30"/>
      <c r="T68" s="3"/>
      <c r="U68"/>
      <c r="V68"/>
      <c r="W68"/>
      <c r="X68" s="30"/>
    </row>
    <row r="69" spans="1:27" s="5" customFormat="1" x14ac:dyDescent="0.3">
      <c r="A69" s="10" t="s">
        <v>82</v>
      </c>
      <c r="B69" s="24" t="s">
        <v>142</v>
      </c>
      <c r="C69" s="24" t="s">
        <v>193</v>
      </c>
      <c r="D69" s="11">
        <v>3</v>
      </c>
      <c r="E69" s="11">
        <v>0</v>
      </c>
      <c r="F69" s="11">
        <f t="shared" si="6"/>
        <v>4</v>
      </c>
      <c r="G69" s="19"/>
      <c r="H69" s="74"/>
      <c r="I69" s="74">
        <v>1</v>
      </c>
      <c r="J69" s="74">
        <v>0.5</v>
      </c>
      <c r="K69" s="32"/>
      <c r="L69" s="84">
        <v>1</v>
      </c>
      <c r="M69" s="84">
        <v>1</v>
      </c>
      <c r="N69" s="84">
        <v>1</v>
      </c>
      <c r="O69" s="84"/>
      <c r="P69" s="84"/>
      <c r="Q69" s="75"/>
      <c r="R69" s="65">
        <f t="shared" si="7"/>
        <v>1</v>
      </c>
      <c r="S69" s="30"/>
      <c r="T69" s="3"/>
      <c r="U69"/>
      <c r="V69"/>
      <c r="W69"/>
      <c r="X69" s="30"/>
      <c r="Y69"/>
      <c r="Z69"/>
      <c r="AA69"/>
    </row>
    <row r="70" spans="1:27" x14ac:dyDescent="0.3">
      <c r="B70" s="21" t="s">
        <v>143</v>
      </c>
      <c r="C70" s="28" t="s">
        <v>195</v>
      </c>
      <c r="D70" s="12">
        <v>7</v>
      </c>
      <c r="E70" s="12">
        <v>2</v>
      </c>
      <c r="F70" s="12">
        <f t="shared" si="6"/>
        <v>8</v>
      </c>
      <c r="G70" s="20"/>
      <c r="H70" s="73"/>
      <c r="J70" s="75"/>
      <c r="K70" s="30"/>
      <c r="L70" s="81"/>
      <c r="M70" s="82"/>
      <c r="N70" s="83">
        <v>1</v>
      </c>
      <c r="O70" s="82"/>
      <c r="Q70" s="73"/>
      <c r="R70" s="65">
        <f t="shared" si="7"/>
        <v>1</v>
      </c>
      <c r="S70" s="30"/>
      <c r="T70" s="3"/>
      <c r="U70"/>
      <c r="V70"/>
      <c r="W70"/>
    </row>
    <row r="71" spans="1:27" x14ac:dyDescent="0.3">
      <c r="B71" s="21" t="s">
        <v>144</v>
      </c>
      <c r="C71" s="28" t="s">
        <v>195</v>
      </c>
      <c r="D71" s="12">
        <v>7</v>
      </c>
      <c r="E71" s="12">
        <v>2</v>
      </c>
      <c r="F71" s="12">
        <f t="shared" si="6"/>
        <v>8</v>
      </c>
      <c r="G71" s="20"/>
      <c r="H71" s="73"/>
      <c r="J71" s="75"/>
      <c r="K71" s="30"/>
      <c r="L71" s="81"/>
      <c r="M71" s="82"/>
      <c r="N71" s="83"/>
      <c r="O71" s="82"/>
      <c r="Q71" s="73"/>
      <c r="R71" s="65">
        <f t="shared" si="7"/>
        <v>0</v>
      </c>
      <c r="S71" s="30"/>
      <c r="T71" s="3"/>
      <c r="U71"/>
      <c r="V71"/>
      <c r="W71"/>
    </row>
    <row r="72" spans="1:27" x14ac:dyDescent="0.3">
      <c r="A72" s="44"/>
      <c r="B72" s="22" t="s">
        <v>145</v>
      </c>
      <c r="C72" s="22" t="s">
        <v>193</v>
      </c>
      <c r="D72" s="25">
        <v>10</v>
      </c>
      <c r="E72" s="25">
        <v>0</v>
      </c>
      <c r="F72" s="25">
        <f t="shared" si="6"/>
        <v>10</v>
      </c>
      <c r="G72" s="26"/>
      <c r="H72" s="76"/>
      <c r="I72" s="76">
        <v>1</v>
      </c>
      <c r="J72" s="76"/>
      <c r="K72" s="34"/>
      <c r="L72" s="85"/>
      <c r="M72" s="85"/>
      <c r="N72" s="85">
        <v>1</v>
      </c>
      <c r="O72" s="85"/>
      <c r="P72" s="85"/>
      <c r="Q72" s="76"/>
      <c r="R72" s="79">
        <f t="shared" si="7"/>
        <v>1</v>
      </c>
      <c r="S72" s="30"/>
      <c r="T72" s="3"/>
      <c r="U72" s="30"/>
      <c r="V72"/>
      <c r="W72" s="5"/>
    </row>
    <row r="73" spans="1:27" s="5" customFormat="1" x14ac:dyDescent="0.3">
      <c r="A73" s="9" t="s">
        <v>83</v>
      </c>
      <c r="B73" s="21" t="s">
        <v>146</v>
      </c>
      <c r="C73" s="28" t="s">
        <v>193</v>
      </c>
      <c r="D73" s="12">
        <v>4</v>
      </c>
      <c r="E73" s="12">
        <v>0</v>
      </c>
      <c r="F73" s="12">
        <f t="shared" si="6"/>
        <v>4</v>
      </c>
      <c r="G73" s="20"/>
      <c r="H73" s="73"/>
      <c r="I73" s="73"/>
      <c r="J73" s="75"/>
      <c r="K73" s="30"/>
      <c r="L73" s="82"/>
      <c r="M73" s="82"/>
      <c r="N73" s="83"/>
      <c r="O73" s="81"/>
      <c r="P73" s="82"/>
      <c r="Q73" s="73"/>
      <c r="R73" s="65">
        <f t="shared" si="7"/>
        <v>0</v>
      </c>
      <c r="S73" s="30"/>
      <c r="T73" s="3"/>
      <c r="U73"/>
      <c r="V73"/>
      <c r="W73"/>
      <c r="X73"/>
      <c r="Y73"/>
      <c r="Z73"/>
      <c r="AA73"/>
    </row>
    <row r="74" spans="1:27" x14ac:dyDescent="0.3">
      <c r="B74" s="21" t="s">
        <v>147</v>
      </c>
      <c r="C74" s="28" t="s">
        <v>194</v>
      </c>
      <c r="D74" s="12">
        <v>3</v>
      </c>
      <c r="E74" s="12">
        <v>0</v>
      </c>
      <c r="F74" s="12">
        <f t="shared" si="6"/>
        <v>4</v>
      </c>
      <c r="G74" s="20"/>
      <c r="H74" s="73"/>
      <c r="J74" s="75"/>
      <c r="K74" s="31"/>
      <c r="L74" s="81"/>
      <c r="M74" s="82"/>
      <c r="N74" s="83"/>
      <c r="O74" s="82"/>
      <c r="Q74" s="73"/>
      <c r="R74" s="65">
        <f t="shared" si="7"/>
        <v>0</v>
      </c>
      <c r="S74" s="30"/>
      <c r="T74" s="3"/>
      <c r="U74"/>
      <c r="V74"/>
      <c r="W74"/>
      <c r="X74" s="5"/>
      <c r="Y74" s="5"/>
      <c r="Z74" s="5"/>
      <c r="AA74" s="5"/>
    </row>
    <row r="75" spans="1:27" s="30" customFormat="1" x14ac:dyDescent="0.3">
      <c r="A75" s="9"/>
      <c r="B75" s="21" t="s">
        <v>188</v>
      </c>
      <c r="C75" s="21" t="s">
        <v>193</v>
      </c>
      <c r="D75" s="12">
        <v>4</v>
      </c>
      <c r="E75" s="12">
        <v>0</v>
      </c>
      <c r="F75" s="12">
        <f t="shared" si="6"/>
        <v>4</v>
      </c>
      <c r="G75" s="20" t="s">
        <v>189</v>
      </c>
      <c r="H75" s="73"/>
      <c r="I75" s="73"/>
      <c r="J75" s="75"/>
      <c r="K75" s="73"/>
      <c r="L75" s="82"/>
      <c r="M75" s="82"/>
      <c r="N75" s="83"/>
      <c r="O75" s="82"/>
      <c r="P75" s="82"/>
      <c r="Q75" s="76"/>
      <c r="R75" s="79">
        <f t="shared" si="7"/>
        <v>0</v>
      </c>
      <c r="T75" s="3"/>
      <c r="U75"/>
      <c r="V75"/>
      <c r="W75"/>
      <c r="X75"/>
      <c r="Y75"/>
      <c r="Z75"/>
      <c r="AA75"/>
    </row>
    <row r="76" spans="1:27" x14ac:dyDescent="0.3">
      <c r="A76" s="10" t="s">
        <v>84</v>
      </c>
      <c r="B76" s="24" t="s">
        <v>148</v>
      </c>
      <c r="C76" s="24"/>
      <c r="D76" s="11">
        <v>2</v>
      </c>
      <c r="E76" s="11">
        <v>0</v>
      </c>
      <c r="F76" s="11">
        <f t="shared" si="6"/>
        <v>2</v>
      </c>
      <c r="G76" s="19"/>
      <c r="H76" s="74">
        <v>1</v>
      </c>
      <c r="I76" s="74">
        <v>1</v>
      </c>
      <c r="J76" s="74">
        <v>0</v>
      </c>
      <c r="K76" s="32">
        <v>1</v>
      </c>
      <c r="L76" s="84"/>
      <c r="M76" s="84">
        <v>1</v>
      </c>
      <c r="N76" s="84"/>
      <c r="O76" s="84"/>
      <c r="P76" s="84"/>
      <c r="Q76" s="75"/>
      <c r="R76" s="65">
        <f t="shared" si="7"/>
        <v>0</v>
      </c>
      <c r="S76" s="30"/>
      <c r="T76" s="3"/>
      <c r="U76"/>
      <c r="V76"/>
      <c r="W76"/>
    </row>
    <row r="77" spans="1:27" s="30" customFormat="1" x14ac:dyDescent="0.3">
      <c r="A77" s="27"/>
      <c r="B77" s="28" t="s">
        <v>99</v>
      </c>
      <c r="C77" s="28"/>
      <c r="D77" s="12">
        <v>2</v>
      </c>
      <c r="E77" s="12">
        <v>1</v>
      </c>
      <c r="F77" s="12">
        <f t="shared" si="6"/>
        <v>2</v>
      </c>
      <c r="G77" s="20" t="s">
        <v>196</v>
      </c>
      <c r="H77" s="75">
        <v>1</v>
      </c>
      <c r="I77" s="75">
        <v>1</v>
      </c>
      <c r="J77" s="75">
        <v>1</v>
      </c>
      <c r="K77" s="33">
        <v>1</v>
      </c>
      <c r="L77" s="83">
        <v>1</v>
      </c>
      <c r="M77" s="83">
        <v>1</v>
      </c>
      <c r="N77" s="83"/>
      <c r="O77" s="83"/>
      <c r="P77" s="83"/>
      <c r="Q77" s="75"/>
      <c r="R77" s="65">
        <f t="shared" si="7"/>
        <v>0</v>
      </c>
      <c r="T77" s="3"/>
    </row>
    <row r="78" spans="1:27" x14ac:dyDescent="0.3">
      <c r="A78" s="27"/>
      <c r="B78" s="28" t="s">
        <v>202</v>
      </c>
      <c r="C78" s="28"/>
      <c r="D78" s="12">
        <v>1</v>
      </c>
      <c r="E78" s="12">
        <v>1</v>
      </c>
      <c r="F78" s="12">
        <f t="shared" si="6"/>
        <v>2</v>
      </c>
      <c r="G78" s="20" t="s">
        <v>203</v>
      </c>
      <c r="H78" s="75"/>
      <c r="I78" s="75"/>
      <c r="J78" s="75">
        <v>1</v>
      </c>
      <c r="K78" s="75"/>
      <c r="L78" s="83">
        <v>1</v>
      </c>
      <c r="M78" s="83"/>
      <c r="N78" s="83"/>
      <c r="O78" s="83"/>
      <c r="P78" s="83"/>
      <c r="Q78" s="75">
        <v>2</v>
      </c>
      <c r="R78" s="65">
        <f t="shared" si="7"/>
        <v>2</v>
      </c>
      <c r="S78" s="30"/>
      <c r="T78" s="3"/>
      <c r="U78" s="30"/>
      <c r="V78" s="30"/>
      <c r="W78" s="30"/>
    </row>
    <row r="79" spans="1:27" s="5" customFormat="1" x14ac:dyDescent="0.3">
      <c r="A79" s="9"/>
      <c r="B79" s="21" t="s">
        <v>149</v>
      </c>
      <c r="C79" s="21"/>
      <c r="D79" s="12">
        <v>4</v>
      </c>
      <c r="E79" s="12">
        <v>3</v>
      </c>
      <c r="F79" s="12">
        <f t="shared" si="6"/>
        <v>4</v>
      </c>
      <c r="G79" s="20"/>
      <c r="H79" s="73">
        <v>1</v>
      </c>
      <c r="I79" s="73"/>
      <c r="J79" s="75">
        <v>1</v>
      </c>
      <c r="K79" s="71">
        <v>1</v>
      </c>
      <c r="L79" s="82">
        <v>1</v>
      </c>
      <c r="M79" s="82">
        <v>1</v>
      </c>
      <c r="N79" s="83"/>
      <c r="O79" s="71"/>
      <c r="P79" s="82"/>
      <c r="Q79" s="73"/>
      <c r="R79" s="65">
        <f t="shared" si="7"/>
        <v>0</v>
      </c>
      <c r="S79" s="13"/>
      <c r="T79" s="3"/>
      <c r="U79"/>
      <c r="V79" s="30"/>
      <c r="W79"/>
      <c r="X79" s="30"/>
      <c r="Y79" s="30"/>
      <c r="Z79" s="30"/>
      <c r="AA79" s="30"/>
    </row>
    <row r="80" spans="1:27" s="5" customFormat="1" x14ac:dyDescent="0.3">
      <c r="A80" s="9"/>
      <c r="B80" s="21" t="s">
        <v>150</v>
      </c>
      <c r="C80" s="21"/>
      <c r="D80" s="12">
        <v>1</v>
      </c>
      <c r="E80" s="12">
        <v>0</v>
      </c>
      <c r="F80" s="12">
        <f t="shared" si="6"/>
        <v>2</v>
      </c>
      <c r="G80" s="20" t="s">
        <v>108</v>
      </c>
      <c r="H80" s="73">
        <v>1</v>
      </c>
      <c r="I80" s="73">
        <v>1</v>
      </c>
      <c r="J80" s="75">
        <v>1</v>
      </c>
      <c r="K80" s="71">
        <v>1</v>
      </c>
      <c r="L80" s="82"/>
      <c r="M80" s="82">
        <v>1</v>
      </c>
      <c r="N80" s="83"/>
      <c r="O80" s="71"/>
      <c r="P80" s="82"/>
      <c r="Q80" s="73"/>
      <c r="R80" s="65">
        <f t="shared" si="7"/>
        <v>0</v>
      </c>
      <c r="S80" s="13"/>
      <c r="T80" s="3"/>
      <c r="U80" s="30"/>
      <c r="V80" s="30"/>
      <c r="W80" s="30"/>
      <c r="X80" s="30"/>
      <c r="Y80" s="30"/>
      <c r="Z80" s="30"/>
      <c r="AA80" s="30"/>
    </row>
    <row r="81" spans="1:30" x14ac:dyDescent="0.3">
      <c r="B81" s="21" t="s">
        <v>220</v>
      </c>
      <c r="D81" s="12">
        <v>1</v>
      </c>
      <c r="E81" s="12">
        <v>1</v>
      </c>
      <c r="F81" s="12">
        <f t="shared" si="6"/>
        <v>2</v>
      </c>
      <c r="G81" s="20" t="s">
        <v>221</v>
      </c>
      <c r="H81" s="73"/>
      <c r="J81" s="75">
        <v>1</v>
      </c>
      <c r="K81" s="71"/>
      <c r="L81" s="81"/>
      <c r="M81" s="82"/>
      <c r="N81" s="83"/>
      <c r="O81" s="71"/>
      <c r="Q81" s="73"/>
      <c r="R81" s="65">
        <f t="shared" si="7"/>
        <v>0</v>
      </c>
      <c r="S81" s="13"/>
      <c r="T81" s="3"/>
      <c r="U81"/>
      <c r="V81"/>
      <c r="W81"/>
    </row>
    <row r="82" spans="1:30" x14ac:dyDescent="0.3">
      <c r="B82" s="21" t="s">
        <v>151</v>
      </c>
      <c r="D82" s="12">
        <v>3</v>
      </c>
      <c r="E82" s="12">
        <v>1</v>
      </c>
      <c r="F82" s="12">
        <f t="shared" si="6"/>
        <v>4</v>
      </c>
      <c r="G82" s="20"/>
      <c r="H82" s="73"/>
      <c r="J82" s="75"/>
      <c r="L82" s="81"/>
      <c r="M82" s="82"/>
      <c r="N82" s="83"/>
      <c r="O82" s="82"/>
      <c r="Q82" s="73"/>
      <c r="R82" s="65">
        <f t="shared" si="7"/>
        <v>0</v>
      </c>
      <c r="S82" s="13"/>
      <c r="T82" s="3"/>
      <c r="U82"/>
      <c r="V82"/>
      <c r="W82"/>
      <c r="X82" s="5"/>
      <c r="Y82" s="5"/>
      <c r="Z82" s="5"/>
      <c r="AA82" s="5"/>
    </row>
    <row r="83" spans="1:30" x14ac:dyDescent="0.3">
      <c r="B83" s="21" t="s">
        <v>152</v>
      </c>
      <c r="D83" s="12">
        <v>1</v>
      </c>
      <c r="E83" s="12">
        <v>0</v>
      </c>
      <c r="F83" s="12">
        <f t="shared" si="6"/>
        <v>2</v>
      </c>
      <c r="G83" s="20"/>
      <c r="H83" s="73"/>
      <c r="J83" s="75"/>
      <c r="L83" s="81"/>
      <c r="M83" s="82"/>
      <c r="N83" s="83"/>
      <c r="O83" s="82"/>
      <c r="Q83" s="73"/>
      <c r="R83" s="65">
        <f t="shared" si="7"/>
        <v>0</v>
      </c>
      <c r="S83" s="13"/>
      <c r="T83" s="3"/>
      <c r="U83"/>
      <c r="V83"/>
      <c r="W83"/>
    </row>
    <row r="84" spans="1:30" s="30" customFormat="1" x14ac:dyDescent="0.3">
      <c r="A84" s="9"/>
      <c r="B84" s="21" t="s">
        <v>153</v>
      </c>
      <c r="C84" s="21"/>
      <c r="D84" s="12">
        <v>4</v>
      </c>
      <c r="E84" s="12">
        <v>0</v>
      </c>
      <c r="F84" s="12">
        <f t="shared" si="6"/>
        <v>4</v>
      </c>
      <c r="G84" s="20"/>
      <c r="H84" s="73"/>
      <c r="I84" s="73"/>
      <c r="J84" s="75"/>
      <c r="K84" s="73"/>
      <c r="L84" s="82"/>
      <c r="M84" s="82"/>
      <c r="N84" s="83"/>
      <c r="O84" s="82"/>
      <c r="P84" s="82"/>
      <c r="Q84" s="73"/>
      <c r="R84" s="65">
        <f t="shared" si="7"/>
        <v>0</v>
      </c>
      <c r="S84" s="13"/>
      <c r="T84" s="3"/>
      <c r="U84"/>
      <c r="V84"/>
      <c r="W84"/>
      <c r="X84" s="5"/>
      <c r="Y84" s="5"/>
      <c r="Z84" s="5"/>
      <c r="AA84" s="5"/>
    </row>
    <row r="85" spans="1:30" x14ac:dyDescent="0.3">
      <c r="B85" s="22" t="s">
        <v>186</v>
      </c>
      <c r="C85" s="22"/>
      <c r="D85" s="25">
        <v>1</v>
      </c>
      <c r="E85" s="25">
        <v>0</v>
      </c>
      <c r="F85" s="25">
        <f t="shared" si="6"/>
        <v>2</v>
      </c>
      <c r="G85" s="26" t="s">
        <v>217</v>
      </c>
      <c r="H85" s="76"/>
      <c r="I85" s="76">
        <v>1</v>
      </c>
      <c r="J85" s="76"/>
      <c r="K85" s="34">
        <v>1</v>
      </c>
      <c r="L85" s="85"/>
      <c r="M85" s="85">
        <v>1</v>
      </c>
      <c r="N85" s="85"/>
      <c r="O85" s="85"/>
      <c r="P85" s="85"/>
      <c r="Q85" s="76"/>
      <c r="R85" s="79">
        <f t="shared" si="7"/>
        <v>0</v>
      </c>
      <c r="S85" s="3"/>
      <c r="T85" s="3"/>
      <c r="U85"/>
      <c r="V85"/>
      <c r="W85"/>
    </row>
    <row r="86" spans="1:30" ht="15" thickBot="1" x14ac:dyDescent="0.35">
      <c r="A86" s="10"/>
      <c r="X86" s="30"/>
      <c r="Y86" s="30"/>
      <c r="Z86" s="30"/>
      <c r="AA86" s="5"/>
      <c r="AB86" s="5"/>
      <c r="AC86" s="5"/>
      <c r="AD86" s="5"/>
    </row>
    <row r="87" spans="1:30" x14ac:dyDescent="0.3">
      <c r="G87" s="80"/>
      <c r="H87" s="61"/>
      <c r="I87" s="61"/>
      <c r="J87" s="61"/>
      <c r="K87" s="58" t="s">
        <v>160</v>
      </c>
      <c r="L87" s="59"/>
      <c r="M87" s="59">
        <f t="array" ref="M87">SUM($F2:$F85*(K2:K85&gt;=0.9)*($R2:$R85&gt;=$T$12))</f>
        <v>82</v>
      </c>
      <c r="N87" s="59" t="e">
        <f t="array" ref="N87">SUM($F2:$F85*(#REF!&gt;=0.9)*($R2:$R85&gt;=$T$12))</f>
        <v>#REF!</v>
      </c>
      <c r="O87" s="59">
        <f t="array" ref="O87">SUM($F2:$F85*(L2:L85&gt;=0.9)*($R2:$R85&gt;=$T$12))</f>
        <v>66</v>
      </c>
      <c r="P87" s="61"/>
      <c r="Q87" s="61"/>
      <c r="R87" s="61"/>
      <c r="S87" s="61"/>
      <c r="T87" s="61"/>
      <c r="AA87" s="5"/>
      <c r="AB87" s="5"/>
      <c r="AC87" s="5"/>
      <c r="AD87" s="5"/>
    </row>
    <row r="88" spans="1:30" x14ac:dyDescent="0.3">
      <c r="G88" s="80"/>
      <c r="H88" s="61"/>
      <c r="I88" s="61"/>
      <c r="J88" s="61"/>
      <c r="K88" s="60" t="s">
        <v>162</v>
      </c>
      <c r="L88" s="61"/>
      <c r="M88" s="61">
        <f t="array" ref="M88">SUM($F2:$F85*K2:K85*($R2:$R85&gt;=$T$12))</f>
        <v>82.4</v>
      </c>
      <c r="N88" s="61" t="e">
        <f t="array" ref="N88">SUM($F2:$F85*#REF!*($R2:$R85&gt;=$T$12))</f>
        <v>#REF!</v>
      </c>
      <c r="O88" s="61">
        <f t="array" ref="O88">SUM($F2:$F85*L2:L85*($R2:$R85&gt;=$T$12))</f>
        <v>66.400000000000006</v>
      </c>
      <c r="P88" s="61"/>
      <c r="Q88" s="61"/>
      <c r="R88" s="61"/>
      <c r="S88" s="61"/>
      <c r="T88" s="61"/>
    </row>
    <row r="89" spans="1:30" x14ac:dyDescent="0.3">
      <c r="G89" s="80"/>
      <c r="H89" s="61"/>
      <c r="I89" s="61"/>
      <c r="J89" s="61"/>
      <c r="K89" s="60" t="s">
        <v>161</v>
      </c>
      <c r="L89" s="61"/>
      <c r="M89" s="61">
        <f t="array" ref="M89">SUM($F$2:$F$85*(K$2:K$85&gt;=0.1)*($R$2:$R$85&gt;=$T$12))</f>
        <v>84</v>
      </c>
      <c r="N89" s="61" t="e">
        <f t="array" ref="N89">SUM($F$2:$F$85*(#REF!&gt;=0.1)*($R$2:$R$85&gt;=$T$12))</f>
        <v>#REF!</v>
      </c>
      <c r="O89" s="61">
        <f t="array" ref="O89">SUM($F$2:$F$85*(L$2:L$85&gt;=0.1)*($R$2:$R$85&gt;=$T$12))</f>
        <v>70</v>
      </c>
      <c r="P89" s="61"/>
      <c r="Q89" s="61"/>
      <c r="R89" s="61"/>
      <c r="S89" s="61"/>
      <c r="T89" s="61"/>
    </row>
    <row r="90" spans="1:30" x14ac:dyDescent="0.3">
      <c r="G90" s="80"/>
      <c r="H90" s="61"/>
      <c r="I90" s="61"/>
      <c r="J90" s="61"/>
      <c r="K90" s="60" t="s">
        <v>163</v>
      </c>
      <c r="L90" s="61"/>
      <c r="M90" s="61">
        <f>LOOKUP($T$12,$T26:$T34,$U26:$U34)</f>
        <v>106</v>
      </c>
      <c r="N90" s="61">
        <f>LOOKUP($T$12,$T26:$T34,$U26:$U34)</f>
        <v>106</v>
      </c>
      <c r="O90" s="61">
        <f>LOOKUP($T$12,$T26:$T34,$U26:$U34)</f>
        <v>106</v>
      </c>
      <c r="P90" s="61"/>
      <c r="Q90" s="61"/>
      <c r="R90" s="61"/>
      <c r="S90" s="61"/>
      <c r="T90" s="61"/>
    </row>
    <row r="91" spans="1:30" x14ac:dyDescent="0.3">
      <c r="G91" s="80"/>
      <c r="H91" s="62"/>
      <c r="I91" s="62"/>
      <c r="J91" s="62"/>
      <c r="K91" s="60" t="s">
        <v>164</v>
      </c>
      <c r="L91" s="62"/>
      <c r="M91" s="62">
        <f>M88/M90</f>
        <v>0.77735849056603779</v>
      </c>
      <c r="N91" s="62" t="e">
        <f t="shared" ref="N91:O91" si="8">N88/N90</f>
        <v>#REF!</v>
      </c>
      <c r="O91" s="62">
        <f t="shared" si="8"/>
        <v>0.62641509433962272</v>
      </c>
      <c r="P91" s="62"/>
      <c r="Q91" s="62"/>
      <c r="R91" s="62"/>
      <c r="S91" s="62"/>
      <c r="T91" s="62"/>
      <c r="Z91" s="30"/>
    </row>
    <row r="92" spans="1:30" ht="15" thickBot="1" x14ac:dyDescent="0.35">
      <c r="D92" s="30"/>
      <c r="G92" s="80"/>
      <c r="H92" s="61"/>
      <c r="I92" s="61"/>
      <c r="J92" s="61"/>
      <c r="K92" s="63" t="s">
        <v>90</v>
      </c>
      <c r="L92" s="64"/>
      <c r="M92" s="64">
        <f t="array" ref="M92">SUM($F2:$F85*K2:K85*($R2:$R85&lt;$T$12))</f>
        <v>77</v>
      </c>
      <c r="N92" s="64" t="e">
        <f t="array" ref="N92">SUM($F2:$F85*#REF!*($R2:$R85&lt;$T$12))</f>
        <v>#REF!</v>
      </c>
      <c r="O92" s="64">
        <f t="array" ref="O92">SUM($F2:$F85*L2:L85*($R2:$R85&lt;$T$12))</f>
        <v>88</v>
      </c>
      <c r="P92" s="61"/>
      <c r="Q92" s="61"/>
      <c r="R92" s="61"/>
      <c r="S92" s="61"/>
      <c r="T92" s="61"/>
    </row>
    <row r="93" spans="1:30" x14ac:dyDescent="0.3">
      <c r="D93" s="30"/>
    </row>
    <row r="94" spans="1:30" s="30" customFormat="1" x14ac:dyDescent="0.3">
      <c r="A94" s="9"/>
      <c r="B94" s="21"/>
      <c r="C94" s="21"/>
      <c r="E94" s="12"/>
      <c r="F94" s="12"/>
      <c r="G94" s="18"/>
      <c r="H94" s="2"/>
      <c r="I94" s="73"/>
      <c r="J94" s="73"/>
      <c r="K94" s="73"/>
      <c r="L94" s="73"/>
      <c r="M94" s="2"/>
      <c r="N94" s="73"/>
      <c r="O94" s="73"/>
      <c r="P94" s="82"/>
      <c r="Q94" s="82"/>
      <c r="R94" s="82"/>
      <c r="S94" s="82"/>
      <c r="T94" s="73"/>
      <c r="U94" s="3"/>
      <c r="V94" s="3"/>
      <c r="W94" s="3"/>
      <c r="X94"/>
      <c r="Y94"/>
      <c r="Z94"/>
      <c r="AA94"/>
      <c r="AB94"/>
      <c r="AC94"/>
      <c r="AD94"/>
    </row>
    <row r="95" spans="1:30" x14ac:dyDescent="0.3">
      <c r="D95" s="30"/>
    </row>
    <row r="100" spans="27:30" x14ac:dyDescent="0.3">
      <c r="AA100" s="5"/>
      <c r="AB100" s="5"/>
      <c r="AC100" s="5"/>
      <c r="AD100" s="5"/>
    </row>
    <row r="104" spans="27:30" x14ac:dyDescent="0.3">
      <c r="AA104" s="5"/>
      <c r="AB104" s="5"/>
      <c r="AC104" s="5"/>
      <c r="AD104" s="5"/>
    </row>
    <row r="109" spans="27:30" x14ac:dyDescent="0.3">
      <c r="AA109" s="5"/>
      <c r="AB109" s="5"/>
      <c r="AC109" s="5"/>
      <c r="AD109" s="5"/>
    </row>
    <row r="122" spans="27:30" x14ac:dyDescent="0.3">
      <c r="AA122" s="30"/>
      <c r="AB122" s="30"/>
      <c r="AC122" s="30"/>
      <c r="AD122" s="30"/>
    </row>
  </sheetData>
  <conditionalFormatting sqref="Q2:R85 B2:M85 N2:N72 P2:P72">
    <cfRule type="expression" dxfId="8" priority="19" stopIfTrue="1">
      <formula>$R2&gt;=(0.5+$T$12)</formula>
    </cfRule>
    <cfRule type="expression" dxfId="7" priority="21">
      <formula>$R2&gt;0</formula>
    </cfRule>
  </conditionalFormatting>
  <conditionalFormatting sqref="Q2:R85 B2:M85 N2:N72 P2:P72">
    <cfRule type="expression" dxfId="6" priority="20" stopIfTrue="1">
      <formula>$R2&gt;=$T$12</formula>
    </cfRule>
  </conditionalFormatting>
  <conditionalFormatting sqref="N73:P85">
    <cfRule type="expression" dxfId="5" priority="4" stopIfTrue="1">
      <formula>$R73&gt;=(0.5+$T$12)</formula>
    </cfRule>
    <cfRule type="expression" dxfId="4" priority="6">
      <formula>$R73&gt;0</formula>
    </cfRule>
  </conditionalFormatting>
  <conditionalFormatting sqref="N73:P85">
    <cfRule type="expression" dxfId="3" priority="5" stopIfTrue="1">
      <formula>$R73&gt;=$T$12</formula>
    </cfRule>
  </conditionalFormatting>
  <conditionalFormatting sqref="O2:O72">
    <cfRule type="expression" dxfId="2" priority="1" stopIfTrue="1">
      <formula>$R2&gt;=(0.5+$T$12)</formula>
    </cfRule>
    <cfRule type="expression" dxfId="1" priority="3">
      <formula>$R2&gt;0</formula>
    </cfRule>
  </conditionalFormatting>
  <conditionalFormatting sqref="O2:O72">
    <cfRule type="expression" dxfId="0" priority="2" stopIfTrue="1">
      <formula>$R2&gt;=$T$12</formula>
    </cfRule>
  </conditionalFormatting>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3"/>
  <sheetViews>
    <sheetView workbookViewId="0">
      <selection sqref="A1:A73"/>
    </sheetView>
  </sheetViews>
  <sheetFormatPr defaultColWidth="8.77734375" defaultRowHeight="14.4" x14ac:dyDescent="0.3"/>
  <cols>
    <col min="1" max="1" width="50.1093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46</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72</v>
      </c>
    </row>
    <row r="69" spans="1:1" x14ac:dyDescent="0.3">
      <c r="A69" t="s">
        <v>67</v>
      </c>
    </row>
    <row r="70" spans="1:1" x14ac:dyDescent="0.3">
      <c r="A70" t="s">
        <v>68</v>
      </c>
    </row>
    <row r="71" spans="1:1" x14ac:dyDescent="0.3">
      <c r="A71" t="s">
        <v>69</v>
      </c>
    </row>
    <row r="72" spans="1:1" x14ac:dyDescent="0.3">
      <c r="A72" t="s">
        <v>70</v>
      </c>
    </row>
    <row r="73" spans="1:1" x14ac:dyDescent="0.3">
      <c r="A73" t="s">
        <v>71</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lablist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Trawick, Matt</dc:creator>
  <cp:lastModifiedBy>Trawick, Matt</cp:lastModifiedBy>
  <dcterms:created xsi:type="dcterms:W3CDTF">2015-06-06T20:05:55Z</dcterms:created>
  <dcterms:modified xsi:type="dcterms:W3CDTF">2021-11-05T02:12:42Z</dcterms:modified>
</cp:coreProperties>
</file>