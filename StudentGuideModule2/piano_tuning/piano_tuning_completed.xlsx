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rawick\Box\github\132\StudentGuideModule2\piano_tuning\"/>
    </mc:Choice>
  </mc:AlternateContent>
  <xr:revisionPtr revIDLastSave="0" documentId="13_ncr:1_{368AA699-ADC9-4CBF-BBA2-F054E5B6CFF7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5" i="1" s="1"/>
  <c r="H12" i="1" s="1"/>
  <c r="H7" i="1" s="1"/>
  <c r="H14" i="1" s="1"/>
  <c r="H9" i="1" s="1"/>
  <c r="H16" i="1" s="1"/>
  <c r="H11" i="1" s="1"/>
  <c r="H18" i="1" s="1"/>
  <c r="H13" i="1" s="1"/>
  <c r="H20" i="1" s="1"/>
  <c r="H15" i="1" s="1"/>
  <c r="G15" i="1"/>
  <c r="G7" i="1"/>
  <c r="G10" i="1"/>
  <c r="A1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</calcChain>
</file>

<file path=xl/sharedStrings.xml><?xml version="1.0" encoding="utf-8"?>
<sst xmlns="http://schemas.openxmlformats.org/spreadsheetml/2006/main" count="32" uniqueCount="17">
  <si>
    <t>C</t>
  </si>
  <si>
    <t>C#</t>
  </si>
  <si>
    <t>D</t>
  </si>
  <si>
    <t>D#(Eb)</t>
  </si>
  <si>
    <t>E</t>
  </si>
  <si>
    <t>F</t>
  </si>
  <si>
    <t>F#</t>
  </si>
  <si>
    <t>G</t>
  </si>
  <si>
    <t>G#</t>
  </si>
  <si>
    <t>A</t>
  </si>
  <si>
    <t>A#(Bb)</t>
  </si>
  <si>
    <t>B</t>
  </si>
  <si>
    <t>Freq (Hz)</t>
  </si>
  <si>
    <t>Fill 
order</t>
  </si>
  <si>
    <t>"Just
intonation"</t>
  </si>
  <si>
    <t>C major
chord</t>
  </si>
  <si>
    <t>"Even 
Temperament"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</si>
</sst>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/>
    </xf>
    <xf numFmtId="1" fontId="2" fillId="0" borderId="2" xfId="0" applyNumberFormat="1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2" fillId="0" borderId="3" xfId="0" applyNumberFormat="1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0" xfId="0" applyBorder="1"/>
    <xf numFmtId="0" fontId="3" fillId="0" borderId="0" xfId="0" quotePrefix="1" applyFont="1" applyBorder="1" applyAlignment="1">
      <alignment vertical="top"/>
    </xf>
    <xf numFmtId="0" fontId="1" fillId="2" borderId="0" xfId="0" applyFont="1" applyFill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2</xdr:row>
      <xdr:rowOff>91440</xdr:rowOff>
    </xdr:from>
    <xdr:to>
      <xdr:col>3</xdr:col>
      <xdr:colOff>259080</xdr:colOff>
      <xdr:row>14</xdr:row>
      <xdr:rowOff>83820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2087880" y="457200"/>
          <a:ext cx="0" cy="2186940"/>
        </a:xfrm>
        <a:prstGeom prst="straightConnector1">
          <a:avLst/>
        </a:prstGeom>
        <a:ln w="19050">
          <a:solidFill>
            <a:srgbClr val="FF000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</xdr:row>
      <xdr:rowOff>91440</xdr:rowOff>
    </xdr:from>
    <xdr:to>
      <xdr:col>4</xdr:col>
      <xdr:colOff>0</xdr:colOff>
      <xdr:row>2</xdr:row>
      <xdr:rowOff>91440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28800" y="457200"/>
          <a:ext cx="60960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</xdr:row>
      <xdr:rowOff>91440</xdr:rowOff>
    </xdr:from>
    <xdr:to>
      <xdr:col>4</xdr:col>
      <xdr:colOff>0</xdr:colOff>
      <xdr:row>14</xdr:row>
      <xdr:rowOff>91440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828800" y="2651760"/>
          <a:ext cx="60960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26</xdr:row>
      <xdr:rowOff>91440</xdr:rowOff>
    </xdr:from>
    <xdr:to>
      <xdr:col>4</xdr:col>
      <xdr:colOff>0</xdr:colOff>
      <xdr:row>26</xdr:row>
      <xdr:rowOff>91440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828800" y="4846320"/>
          <a:ext cx="60960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251460</xdr:colOff>
      <xdr:row>14</xdr:row>
      <xdr:rowOff>83820</xdr:rowOff>
    </xdr:from>
    <xdr:to>
      <xdr:col>3</xdr:col>
      <xdr:colOff>251460</xdr:colOff>
      <xdr:row>26</xdr:row>
      <xdr:rowOff>76200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2080260" y="2644140"/>
          <a:ext cx="0" cy="2186940"/>
        </a:xfrm>
        <a:prstGeom prst="straightConnector1">
          <a:avLst/>
        </a:prstGeom>
        <a:ln w="19050">
          <a:solidFill>
            <a:srgbClr val="FF000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129540</xdr:colOff>
      <xdr:row>4</xdr:row>
      <xdr:rowOff>26671</xdr:rowOff>
    </xdr:from>
    <xdr:to>
      <xdr:col>2</xdr:col>
      <xdr:colOff>506730</xdr:colOff>
      <xdr:row>26</xdr:row>
      <xdr:rowOff>63065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 rot="5400000">
          <a:off x="-441042" y="2801798"/>
          <a:ext cx="4082877" cy="3771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solidFill>
                <a:srgbClr val="FF0000"/>
              </a:solidFill>
            </a:rPr>
            <a:t>LOW. . . . . . . . . . . . . . . . . . . . . HIGH</a:t>
          </a:r>
        </a:p>
      </xdr:txBody>
    </xdr:sp>
    <xdr:clientData/>
  </xdr:twoCellAnchor>
  <xdr:twoCellAnchor>
    <xdr:from>
      <xdr:col>0</xdr:col>
      <xdr:colOff>68580</xdr:colOff>
      <xdr:row>3</xdr:row>
      <xdr:rowOff>99060</xdr:rowOff>
    </xdr:from>
    <xdr:to>
      <xdr:col>1</xdr:col>
      <xdr:colOff>457200</xdr:colOff>
      <xdr:row>7</xdr:row>
      <xdr:rowOff>15240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68580" y="838200"/>
              <a:ext cx="998220" cy="647700"/>
            </a:xfrm>
            <a:prstGeom prst="rect">
              <a:avLst/>
            </a:prstGeom>
            <a:solidFill>
              <a:schemeClr val="lt1"/>
            </a:solidFill>
            <a:ln w="19050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ctrlPr>
                          <a:rPr lang="en-US" sz="3200" b="1" i="1">
                            <a:ln>
                              <a:noFill/>
                            </a:ln>
                            <a:latin typeface="Cambria Math" panose="02040503050406030204" pitchFamily="18" charset="0"/>
                          </a:rPr>
                        </m:ctrlPr>
                      </m:radPr>
                      <m:deg>
                        <m:r>
                          <m:rPr>
                            <m:brk m:alnAt="7"/>
                          </m:rPr>
                          <a:rPr lang="en-US" sz="3200" b="1" i="1">
                            <a:ln>
                              <a:noFill/>
                            </a:ln>
                            <a:latin typeface="Cambria Math"/>
                          </a:rPr>
                          <m:t>𝟏</m:t>
                        </m:r>
                        <m:r>
                          <a:rPr lang="en-US" sz="3200" b="1" i="1">
                            <a:ln>
                              <a:noFill/>
                            </a:ln>
                            <a:latin typeface="Cambria Math"/>
                          </a:rPr>
                          <m:t>𝟐</m:t>
                        </m:r>
                      </m:deg>
                      <m:e>
                        <m:r>
                          <a:rPr lang="en-US" sz="3200" b="1" i="1">
                            <a:ln>
                              <a:noFill/>
                            </a:ln>
                            <a:latin typeface="Cambria Math"/>
                          </a:rPr>
                          <m:t>𝟐</m:t>
                        </m:r>
                      </m:e>
                    </m:rad>
                  </m:oMath>
                </m:oMathPara>
              </a14:m>
              <a:endParaRPr lang="en-US" sz="1100" b="1">
                <a:ln>
                  <a:noFill/>
                </a:ln>
              </a:endParaRPr>
            </a:p>
          </xdr:txBody>
        </xdr:sp>
      </mc:Choice>
      <mc:Fallback xmlns="">
        <xdr:sp macro="" textlink="">
          <xdr:nvSpPr>
            <xdr:cNvPr id="13" name="TextBox 12"/>
            <xdr:cNvSpPr txBox="1"/>
          </xdr:nvSpPr>
          <xdr:spPr>
            <a:xfrm>
              <a:off x="68580" y="838200"/>
              <a:ext cx="998220" cy="647700"/>
            </a:xfrm>
            <a:prstGeom prst="rect">
              <a:avLst/>
            </a:prstGeom>
            <a:solidFill>
              <a:schemeClr val="lt1"/>
            </a:solidFill>
            <a:ln w="19050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3200" b="1" i="0">
                  <a:ln>
                    <a:noFill/>
                  </a:ln>
                  <a:latin typeface="Cambria Math"/>
                </a:rPr>
                <a:t>√(𝟏𝟐&amp;𝟐)</a:t>
              </a:r>
              <a:endParaRPr lang="en-US" sz="1100" b="1">
                <a:ln>
                  <a:noFill/>
                </a:ln>
              </a:endParaRPr>
            </a:p>
          </xdr:txBody>
        </xdr:sp>
      </mc:Fallback>
    </mc:AlternateContent>
    <xdr:clientData/>
  </xdr:twoCellAnchor>
  <xdr:twoCellAnchor>
    <xdr:from>
      <xdr:col>0</xdr:col>
      <xdr:colOff>297180</xdr:colOff>
      <xdr:row>0</xdr:row>
      <xdr:rowOff>320040</xdr:rowOff>
    </xdr:from>
    <xdr:to>
      <xdr:col>0</xdr:col>
      <xdr:colOff>567690</xdr:colOff>
      <xdr:row>3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>
          <a:stCxn id="13" idx="0"/>
        </xdr:cNvCxnSpPr>
      </xdr:nvCxnSpPr>
      <xdr:spPr>
        <a:xfrm flipH="1" flipV="1">
          <a:off x="297180" y="320040"/>
          <a:ext cx="270510" cy="518160"/>
        </a:xfrm>
        <a:prstGeom prst="straightConnector1">
          <a:avLst/>
        </a:prstGeom>
        <a:ln w="285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236220</xdr:colOff>
      <xdr:row>18</xdr:row>
      <xdr:rowOff>144780</xdr:rowOff>
    </xdr:from>
    <xdr:to>
      <xdr:col>16</xdr:col>
      <xdr:colOff>365760</xdr:colOff>
      <xdr:row>29</xdr:row>
      <xdr:rowOff>144780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6225540" y="3627120"/>
              <a:ext cx="3787140" cy="201168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2. To calculate "Just Intonation" frequencies:</a:t>
              </a:r>
            </a:p>
            <a:p>
              <a:endParaRPr 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Start with low C, and alternate between</a:t>
              </a:r>
            </a:p>
            <a:p>
              <a:pPr marL="171450" marR="0" indent="-17145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 typeface="Arial" panose="020B0604020202020204" pitchFamily="34" charset="0"/>
                <a:buChar char="•"/>
                <a:tabLst/>
                <a:defRPr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7 notes ("perfect fifth") higher: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𝑓</m:t>
                      </m:r>
                    </m:e>
                    <m:sub>
                      <m: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𝐻𝐼𝐺𝐻</m:t>
                      </m:r>
                    </m:sub>
                  </m:sSub>
                  <m:r>
                    <a:rPr lang="en-US" sz="1100" b="0" i="1">
                      <a:solidFill>
                        <a:sysClr val="windowText" lastClr="000000"/>
                      </a:solidFill>
                      <a:latin typeface="Cambria Math"/>
                      <a:ea typeface="+mn-ea"/>
                      <a:cs typeface="+mn-cs"/>
                    </a:rPr>
                    <m:t>=</m:t>
                  </m:r>
                  <m:d>
                    <m:dPr>
                      <m:ctrlP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f>
                        <m:fPr>
                          <m:type m:val="lin"/>
                          <m:ctrlPr>
                            <a:rPr lang="en-US" sz="1100" b="0" i="1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solidFill>
                                <a:sysClr val="windowText" lastClr="000000"/>
                              </a:solidFill>
                              <a:latin typeface="Cambria Math"/>
                              <a:ea typeface="+mn-ea"/>
                              <a:cs typeface="+mn-cs"/>
                            </a:rPr>
                            <m:t>3</m:t>
                          </m:r>
                        </m:num>
                        <m:den>
                          <m:r>
                            <a:rPr lang="en-US" sz="1100" b="0" i="1">
                              <a:solidFill>
                                <a:sysClr val="windowText" lastClr="000000"/>
                              </a:solidFill>
                              <a:latin typeface="Cambria Math"/>
                              <a:ea typeface="+mn-ea"/>
                              <a:cs typeface="+mn-cs"/>
                            </a:rPr>
                            <m:t>2</m:t>
                          </m:r>
                        </m:den>
                      </m:f>
                    </m:e>
                  </m:d>
                  <m:sSub>
                    <m:sSubPr>
                      <m:ctrlP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𝑓</m:t>
                      </m:r>
                    </m:e>
                    <m:sub>
                      <m: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𝐿𝑂𝑊</m:t>
                      </m:r>
                    </m:sub>
                  </m:sSub>
                  <m:r>
                    <a:rPr lang="en-US" sz="1100" b="0">
                      <a:solidFill>
                        <a:sysClr val="windowText" lastClr="000000"/>
                      </a:solidFill>
                      <a:latin typeface="Cambria Math"/>
                      <a:ea typeface="+mn-ea"/>
                      <a:cs typeface="+mn-cs"/>
                    </a:rPr>
                    <m:t>.</m:t>
                  </m:r>
                </m:oMath>
              </a14:m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</a:t>
              </a: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               (example: "G" is 196.2 Hz)</a:t>
              </a:r>
            </a:p>
            <a:p>
              <a:pPr marL="171450" indent="-171450">
                <a:buFont typeface="Arial" panose="020B0604020202020204" pitchFamily="34" charset="0"/>
                <a:buChar char="•"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5 notes ("perfect fourth") lower: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𝑓</m:t>
                      </m:r>
                    </m:e>
                    <m:sub>
                      <m: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𝐿𝑂𝑊</m:t>
                      </m:r>
                    </m:sub>
                  </m:sSub>
                  <m:r>
                    <a:rPr lang="en-US" sz="1100" b="0" i="1">
                      <a:solidFill>
                        <a:sysClr val="windowText" lastClr="000000"/>
                      </a:solidFill>
                      <a:latin typeface="Cambria Math"/>
                      <a:ea typeface="+mn-ea"/>
                      <a:cs typeface="+mn-cs"/>
                    </a:rPr>
                    <m:t> =</m:t>
                  </m:r>
                  <m:d>
                    <m:dPr>
                      <m:ctrlP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f>
                        <m:fPr>
                          <m:type m:val="lin"/>
                          <m:ctrlPr>
                            <a:rPr lang="en-US" sz="1100" b="0" i="1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solidFill>
                                <a:sysClr val="windowText" lastClr="000000"/>
                              </a:solidFill>
                              <a:latin typeface="Cambria Math"/>
                              <a:ea typeface="+mn-ea"/>
                              <a:cs typeface="+mn-cs"/>
                            </a:rPr>
                            <m:t>3</m:t>
                          </m:r>
                        </m:num>
                        <m:den>
                          <m:r>
                            <a:rPr lang="en-US" sz="1100" b="0" i="1">
                              <a:solidFill>
                                <a:sysClr val="windowText" lastClr="000000"/>
                              </a:solidFill>
                              <a:latin typeface="Cambria Math"/>
                              <a:ea typeface="+mn-ea"/>
                              <a:cs typeface="+mn-cs"/>
                            </a:rPr>
                            <m:t>4</m:t>
                          </m:r>
                        </m:den>
                      </m:f>
                    </m:e>
                  </m:d>
                  <m:sSub>
                    <m:sSubPr>
                      <m:ctrlP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𝑓</m:t>
                      </m:r>
                    </m:e>
                    <m:sub>
                      <m: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𝐻𝐼𝐺𝐻</m:t>
                      </m:r>
                    </m:sub>
                  </m:sSub>
                </m:oMath>
              </a14:m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. </a:t>
              </a: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               (example: "D" is 147.2 Hz)</a:t>
              </a:r>
            </a:p>
            <a:p>
              <a:pPr marL="0" indent="0">
                <a:buFontTx/>
                <a:buNone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The complete fill order is also given in column H.</a:t>
              </a:r>
            </a:p>
            <a:p>
              <a:pPr marL="0" indent="0">
                <a:buFontTx/>
                <a:buNone/>
              </a:pPr>
              <a:endParaRPr lang="en-US" sz="1100" b="0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en-US" sz="1100" b="0" i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Does the last "C" come out to exactly 261.6 Hz (twice</a:t>
              </a:r>
              <a:r>
                <a:rPr lang="en-US" sz="1100" b="0" i="1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low "C")</a:t>
              </a:r>
              <a:r>
                <a:rPr lang="en-US" sz="1100" b="0" i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?  </a:t>
              </a:r>
            </a:p>
            <a:p>
              <a:r>
                <a:rPr lang="en-US" sz="1100" b="0" i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Are the frequencies of  other notes in the C major chord exact?</a:t>
              </a:r>
            </a:p>
          </xdr:txBody>
        </xdr:sp>
      </mc:Choice>
      <mc:Fallback xmlns="">
        <xdr:sp macro="" textlink="">
          <xdr:nvSpPr>
            <xdr:cNvPr id="17" name="TextBox 16"/>
            <xdr:cNvSpPr txBox="1"/>
          </xdr:nvSpPr>
          <xdr:spPr>
            <a:xfrm>
              <a:off x="6225540" y="3627120"/>
              <a:ext cx="3787140" cy="201168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2. To calculate "Just Intonation" frequencies:</a:t>
              </a:r>
            </a:p>
            <a:p>
              <a:endParaRPr 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Start with low C, and alternate between</a:t>
              </a:r>
            </a:p>
            <a:p>
              <a:pPr marL="171450" marR="0" indent="-17145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 typeface="Arial" panose="020B0604020202020204" pitchFamily="34" charset="0"/>
                <a:buChar char="•"/>
                <a:tabLst/>
                <a:defRPr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7 notes ("perfect fifth") higher:    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𝑓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𝐻𝐼𝐺𝐻=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∕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 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𝑓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𝐿𝑂𝑊.</a:t>
              </a: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</a:t>
              </a: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               (example: "G" is 196.2 Hz)</a:t>
              </a:r>
            </a:p>
            <a:p>
              <a:pPr marL="171450" indent="-171450">
                <a:buFont typeface="Arial" panose="020B0604020202020204" pitchFamily="34" charset="0"/>
                <a:buChar char="•"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5 notes ("perfect fourth") lower: 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𝑓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𝐿𝑂𝑊  =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∕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 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𝑓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𝐻𝐼𝐺𝐻</a:t>
              </a: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. </a:t>
              </a: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               (example: "D" is 147.2 Hz)</a:t>
              </a:r>
            </a:p>
            <a:p>
              <a:pPr marL="0" indent="0">
                <a:buFontTx/>
                <a:buNone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The complete fill order is also given in column H.</a:t>
              </a:r>
            </a:p>
            <a:p>
              <a:pPr marL="0" indent="0">
                <a:buFontTx/>
                <a:buNone/>
              </a:pPr>
              <a:endParaRPr lang="en-US" sz="1100" b="0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en-US" sz="1100" b="0" i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Does the last "C" come out to exactly 261.6 Hz (twice</a:t>
              </a:r>
              <a:r>
                <a:rPr lang="en-US" sz="1100" b="0" i="1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low "C")</a:t>
              </a:r>
              <a:r>
                <a:rPr lang="en-US" sz="1100" b="0" i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?  </a:t>
              </a:r>
            </a:p>
            <a:p>
              <a:r>
                <a:rPr lang="en-US" sz="1100" b="0" i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Are the frequencies of  other notes in the C major chord exact?</a:t>
              </a:r>
            </a:p>
          </xdr:txBody>
        </xdr:sp>
      </mc:Fallback>
    </mc:AlternateContent>
    <xdr:clientData/>
  </xdr:twoCellAnchor>
  <xdr:twoCellAnchor>
    <xdr:from>
      <xdr:col>11</xdr:col>
      <xdr:colOff>160020</xdr:colOff>
      <xdr:row>5</xdr:row>
      <xdr:rowOff>45720</xdr:rowOff>
    </xdr:from>
    <xdr:to>
      <xdr:col>17</xdr:col>
      <xdr:colOff>99060</xdr:colOff>
      <xdr:row>14</xdr:row>
      <xdr:rowOff>83820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6758940" y="1150620"/>
              <a:ext cx="3596640" cy="168402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3. To calculate "Even Temperament" frequencies:</a:t>
              </a:r>
            </a:p>
            <a:p>
              <a:endParaRPr 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Start with low "C".</a:t>
              </a:r>
            </a:p>
            <a:p>
              <a:pPr marL="171450" indent="-171450">
                <a:buFont typeface="Arial" panose="020B0604020202020204" pitchFamily="34" charset="0"/>
                <a:buChar char="•"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Each successive note has a frequency </a:t>
              </a:r>
              <a14:m>
                <m:oMath xmlns:m="http://schemas.openxmlformats.org/officeDocument/2006/math">
                  <m:rad>
                    <m:radPr>
                      <m:ctrlP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>
                      <m:r>
                        <m:rPr>
                          <m:brk m:alnAt="7"/>
                        </m:rPr>
                        <a:rPr lang="en-US" sz="1100" b="0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1</m:t>
                      </m:r>
                      <m:r>
                        <a:rPr lang="en-US" sz="1100" b="0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2</m:t>
                      </m:r>
                    </m:deg>
                    <m:e>
                      <m:r>
                        <a:rPr lang="en-US" sz="1100" b="0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2</m:t>
                      </m:r>
                    </m:e>
                  </m:rad>
                </m:oMath>
              </a14:m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times the one just below it.  (</a:t>
              </a:r>
              <a14:m>
                <m:oMath xmlns:m="http://schemas.openxmlformats.org/officeDocument/2006/math">
                  <m:rad>
                    <m:radPr>
                      <m:ctrlP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>
                      <m:r>
                        <m:rPr>
                          <m:brk m:alnAt="7"/>
                        </m:rPr>
                        <a:rPr lang="en-US" sz="1100" b="0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1</m:t>
                      </m:r>
                      <m:r>
                        <a:rPr lang="en-US" sz="1100" b="0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2</m:t>
                      </m:r>
                    </m:deg>
                    <m:e>
                      <m:r>
                        <a:rPr lang="en-US" sz="1100" b="0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2</m:t>
                      </m:r>
                    </m:e>
                  </m:rad>
                </m:oMath>
              </a14:m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is given in cell A1.)</a:t>
              </a:r>
            </a:p>
            <a:p>
              <a:pPr marL="0" indent="0">
                <a:buFontTx/>
                <a:buNone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</a:t>
              </a:r>
            </a:p>
            <a:p>
              <a:r>
                <a:rPr lang="en-US" sz="1100" b="0" i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Does the last "C" come out to exactly 261.6 Hz?  </a:t>
              </a:r>
            </a:p>
            <a:p>
              <a:r>
                <a:rPr lang="en-US" sz="1100" b="0" i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Are the frequencies of  notes in the C major chord exact?  Are they closer than with "Just Intonation"?</a:t>
              </a:r>
            </a:p>
          </xdr:txBody>
        </xdr:sp>
      </mc:Choice>
      <mc:Fallback xmlns="">
        <xdr:sp macro="" textlink="">
          <xdr:nvSpPr>
            <xdr:cNvPr id="18" name="TextBox 17"/>
            <xdr:cNvSpPr txBox="1"/>
          </xdr:nvSpPr>
          <xdr:spPr>
            <a:xfrm>
              <a:off x="6758940" y="1150620"/>
              <a:ext cx="3596640" cy="168402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3. To calculate "Even Temperament" frequencies:</a:t>
              </a:r>
            </a:p>
            <a:p>
              <a:endParaRPr 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Start with low "C".</a:t>
              </a:r>
            </a:p>
            <a:p>
              <a:pPr marL="171450" indent="-171450">
                <a:buFont typeface="Arial" panose="020B0604020202020204" pitchFamily="34" charset="0"/>
                <a:buChar char="•"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Each successive note has a frequency 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√(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12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&amp;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times the one just below it.  (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√(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12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&amp;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is given in cell A1.)</a:t>
              </a:r>
            </a:p>
            <a:p>
              <a:pPr marL="0" indent="0">
                <a:buFontTx/>
                <a:buNone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</a:t>
              </a:r>
            </a:p>
            <a:p>
              <a:r>
                <a:rPr lang="en-US" sz="1100" b="0" i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Does the last "C" come out to exactly 261.6 Hz?  </a:t>
              </a:r>
            </a:p>
            <a:p>
              <a:r>
                <a:rPr lang="en-US" sz="1100" b="0" i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Are the frequencies of  notes in the C major chord exact?  Are they closer than with "Just Intonation"?</a:t>
              </a:r>
            </a:p>
          </xdr:txBody>
        </xdr:sp>
      </mc:Fallback>
    </mc:AlternateContent>
    <xdr:clientData/>
  </xdr:twoCellAnchor>
  <xdr:twoCellAnchor>
    <xdr:from>
      <xdr:col>2</xdr:col>
      <xdr:colOff>556260</xdr:colOff>
      <xdr:row>7</xdr:row>
      <xdr:rowOff>152400</xdr:rowOff>
    </xdr:from>
    <xdr:to>
      <xdr:col>3</xdr:col>
      <xdr:colOff>579120</xdr:colOff>
      <xdr:row>9</xdr:row>
      <xdr:rowOff>53340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75460" y="1623060"/>
          <a:ext cx="63246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rgbClr val="FF0000"/>
              </a:solidFill>
            </a:rPr>
            <a:t>octave</a:t>
          </a:r>
        </a:p>
      </xdr:txBody>
    </xdr:sp>
    <xdr:clientData/>
  </xdr:twoCellAnchor>
  <xdr:twoCellAnchor>
    <xdr:from>
      <xdr:col>2</xdr:col>
      <xdr:colOff>563880</xdr:colOff>
      <xdr:row>19</xdr:row>
      <xdr:rowOff>160020</xdr:rowOff>
    </xdr:from>
    <xdr:to>
      <xdr:col>3</xdr:col>
      <xdr:colOff>586740</xdr:colOff>
      <xdr:row>21</xdr:row>
      <xdr:rowOff>60960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783080" y="3825240"/>
          <a:ext cx="63246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rgbClr val="FF0000"/>
              </a:solidFill>
            </a:rPr>
            <a:t>octave</a:t>
          </a:r>
        </a:p>
      </xdr:txBody>
    </xdr:sp>
    <xdr:clientData/>
  </xdr:twoCellAnchor>
  <xdr:twoCellAnchor>
    <xdr:from>
      <xdr:col>6</xdr:col>
      <xdr:colOff>114300</xdr:colOff>
      <xdr:row>24</xdr:row>
      <xdr:rowOff>30480</xdr:rowOff>
    </xdr:from>
    <xdr:to>
      <xdr:col>10</xdr:col>
      <xdr:colOff>30480</xdr:colOff>
      <xdr:row>29</xdr:row>
      <xdr:rowOff>137160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/>
          </xdr:nvSpPr>
          <xdr:spPr>
            <a:xfrm>
              <a:off x="3162300" y="4610100"/>
              <a:ext cx="2857500" cy="102108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ysClr val="windowText" lastClr="000000"/>
                  </a:solidFill>
                </a:rPr>
                <a:t>1. To make a C major chord</a:t>
              </a:r>
              <a:r>
                <a:rPr lang="en-US" sz="1100" b="1" baseline="0">
                  <a:solidFill>
                    <a:sysClr val="windowText" lastClr="000000"/>
                  </a:solidFill>
                </a:rPr>
                <a:t>:</a:t>
              </a:r>
            </a:p>
            <a:p>
              <a:r>
                <a:rPr lang="en-US" sz="1100" b="0" baseline="0">
                  <a:solidFill>
                    <a:sysClr val="windowText" lastClr="000000"/>
                  </a:solidFill>
                </a:rPr>
                <a:t>The frequency of the lowest "C" is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 baseline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baseline="0">
                          <a:solidFill>
                            <a:sysClr val="windowText" lastClr="000000"/>
                          </a:solidFill>
                          <a:latin typeface="Cambria Math"/>
                        </a:rPr>
                        <m:t>𝑓</m:t>
                      </m:r>
                    </m:e>
                    <m:sub>
                      <m:r>
                        <a:rPr lang="en-US" sz="1100" b="0" i="1" baseline="0">
                          <a:solidFill>
                            <a:sysClr val="windowText" lastClr="000000"/>
                          </a:solidFill>
                          <a:latin typeface="Cambria Math"/>
                        </a:rPr>
                        <m:t>0</m:t>
                      </m:r>
                    </m:sub>
                  </m:sSub>
                  <m:r>
                    <a:rPr lang="en-US" sz="1100" b="0" i="0" baseline="0">
                      <a:solidFill>
                        <a:sysClr val="windowText" lastClr="000000"/>
                      </a:solidFill>
                      <a:latin typeface="Cambria Math"/>
                    </a:rPr>
                    <m:t>.</m:t>
                  </m:r>
                </m:oMath>
              </a14:m>
              <a:endParaRPr lang="en-US" sz="1100" b="0" baseline="0">
                <a:solidFill>
                  <a:sysClr val="windowText" lastClr="000000"/>
                </a:solidFill>
              </a:endParaRPr>
            </a:p>
            <a:p>
              <a:pPr marL="171450" indent="-171450">
                <a:buFont typeface="Arial" panose="020B0604020202020204" pitchFamily="34" charset="0"/>
                <a:buChar char="•"/>
              </a:pPr>
              <a:r>
                <a:rPr lang="en-US" sz="1100" baseline="0">
                  <a:solidFill>
                    <a:sysClr val="windowText" lastClr="000000"/>
                  </a:solidFill>
                </a:rPr>
                <a:t>The "C" one octave above has </a:t>
              </a:r>
              <a14:m>
                <m:oMath xmlns:m="http://schemas.openxmlformats.org/officeDocument/2006/math">
                  <m:r>
                    <a:rPr lang="en-US" sz="1100" i="1" baseline="0">
                      <a:solidFill>
                        <a:sysClr val="windowText" lastClr="000000"/>
                      </a:solidFill>
                      <a:latin typeface="Cambria Math"/>
                    </a:rPr>
                    <m:t>𝑓</m:t>
                  </m:r>
                  <m:r>
                    <a:rPr lang="en-US" sz="1100" i="1" baseline="0">
                      <a:solidFill>
                        <a:sysClr val="windowText" lastClr="000000"/>
                      </a:solidFill>
                      <a:latin typeface="Cambria Math"/>
                    </a:rPr>
                    <m:t>=2</m:t>
                  </m:r>
                  <m:sSub>
                    <m:sSubPr>
                      <m:ctrlPr>
                        <a:rPr lang="en-US" sz="1100" b="0" i="1" baseline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baseline="0">
                          <a:solidFill>
                            <a:sysClr val="windowText" lastClr="000000"/>
                          </a:solidFill>
                          <a:latin typeface="Cambria Math"/>
                        </a:rPr>
                        <m:t>𝑓</m:t>
                      </m:r>
                    </m:e>
                    <m:sub>
                      <m:r>
                        <a:rPr lang="en-US" sz="1100" b="0" i="1" baseline="0">
                          <a:solidFill>
                            <a:sysClr val="windowText" lastClr="000000"/>
                          </a:solidFill>
                          <a:latin typeface="Cambria Math"/>
                        </a:rPr>
                        <m:t>0</m:t>
                      </m:r>
                    </m:sub>
                  </m:sSub>
                  <m:r>
                    <a:rPr lang="en-US" sz="1100" b="0" i="1" baseline="0">
                      <a:solidFill>
                        <a:sysClr val="windowText" lastClr="000000"/>
                      </a:solidFill>
                      <a:latin typeface="Cambria Math"/>
                    </a:rPr>
                    <m:t>.</m:t>
                  </m:r>
                </m:oMath>
              </a14:m>
              <a:endParaRPr lang="en-US" sz="1100" b="0" baseline="0">
                <a:solidFill>
                  <a:sysClr val="windowText" lastClr="000000"/>
                </a:solidFill>
              </a:endParaRPr>
            </a:p>
            <a:p>
              <a:pPr marL="171450" indent="-171450">
                <a:buFont typeface="Arial" panose="020B0604020202020204" pitchFamily="34" charset="0"/>
                <a:buChar char="•"/>
              </a:pPr>
              <a:r>
                <a:rPr lang="en-US" sz="1100" baseline="0">
                  <a:solidFill>
                    <a:sysClr val="windowText" lastClr="000000"/>
                  </a:solidFill>
                </a:rPr>
                <a:t>The "G" above the low C has </a:t>
              </a:r>
              <a14:m>
                <m:oMath xmlns:m="http://schemas.openxmlformats.org/officeDocument/2006/math">
                  <m:r>
                    <a:rPr lang="en-US" sz="1100" b="0" i="1" baseline="0">
                      <a:solidFill>
                        <a:sysClr val="windowText" lastClr="000000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𝑓</m:t>
                  </m:r>
                  <m:r>
                    <a:rPr lang="en-US" sz="1100" b="0" i="1" baseline="0">
                      <a:solidFill>
                        <a:sysClr val="windowText" lastClr="000000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d>
                    <m:dPr>
                      <m:ctrlPr>
                        <a:rPr lang="en-US" sz="1100" b="0" i="1" baseline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f>
                        <m:fPr>
                          <m:type m:val="lin"/>
                          <m:ctrlPr>
                            <a:rPr lang="en-US" sz="11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n-US" sz="11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3</m:t>
                          </m:r>
                        </m:num>
                        <m:den>
                          <m:r>
                            <a:rPr lang="en-US" sz="11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2</m:t>
                          </m:r>
                        </m:den>
                      </m:f>
                    </m:e>
                  </m:d>
                  <m:sSub>
                    <m:sSubPr>
                      <m:ctrlPr>
                        <a:rPr lang="en-US" sz="1100" b="0" i="1" baseline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 baseline="0">
                          <a:solidFill>
                            <a:sysClr val="windowText" lastClr="000000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𝑓</m:t>
                      </m:r>
                    </m:e>
                    <m:sub>
                      <m:r>
                        <a:rPr lang="en-US" sz="1100" b="0" i="1" baseline="0">
                          <a:solidFill>
                            <a:sysClr val="windowText" lastClr="000000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</m:oMath>
              </a14:m>
              <a:r>
                <a:rPr lang="en-US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. </a:t>
              </a:r>
              <a:endParaRPr lang="en-US" sz="1100" baseline="0">
                <a:solidFill>
                  <a:sysClr val="windowText" lastClr="000000"/>
                </a:solidFill>
              </a:endParaRPr>
            </a:p>
            <a:p>
              <a:pPr marL="171450" indent="-171450">
                <a:buFont typeface="Arial" panose="020B0604020202020204" pitchFamily="34" charset="0"/>
                <a:buChar char="•"/>
              </a:pPr>
              <a:r>
                <a:rPr lang="en-US" sz="1100" baseline="0">
                  <a:solidFill>
                    <a:sysClr val="windowText" lastClr="000000"/>
                  </a:solidFill>
                </a:rPr>
                <a:t>The "E" above the low C has </a:t>
              </a:r>
              <a14:m>
                <m:oMath xmlns:m="http://schemas.openxmlformats.org/officeDocument/2006/math">
                  <m:r>
                    <a:rPr lang="en-US" sz="1100" b="0" i="1" baseline="0">
                      <a:solidFill>
                        <a:sysClr val="windowText" lastClr="000000"/>
                      </a:solidFill>
                      <a:latin typeface="Cambria Math"/>
                    </a:rPr>
                    <m:t>𝑓</m:t>
                  </m:r>
                  <m:r>
                    <a:rPr lang="en-US" sz="1100" b="0" i="1" baseline="0">
                      <a:solidFill>
                        <a:sysClr val="windowText" lastClr="000000"/>
                      </a:solidFill>
                      <a:latin typeface="Cambria Math"/>
                    </a:rPr>
                    <m:t>=</m:t>
                  </m:r>
                  <m:d>
                    <m:dPr>
                      <m:ctrlPr>
                        <a:rPr lang="en-US" sz="1100" b="0" i="1" baseline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type m:val="lin"/>
                          <m:ctrlPr>
                            <a:rPr lang="en-US" sz="11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n-US" sz="11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5</m:t>
                          </m:r>
                        </m:num>
                        <m:den>
                          <m:r>
                            <a:rPr lang="en-US" sz="11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4</m:t>
                          </m:r>
                        </m:den>
                      </m:f>
                    </m:e>
                  </m:d>
                  <m:sSub>
                    <m:sSubPr>
                      <m:ctrlPr>
                        <a:rPr lang="en-US" sz="1100" b="0" i="1" baseline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baseline="0">
                          <a:solidFill>
                            <a:sysClr val="windowText" lastClr="000000"/>
                          </a:solidFill>
                          <a:latin typeface="Cambria Math"/>
                        </a:rPr>
                        <m:t>𝑓</m:t>
                      </m:r>
                    </m:e>
                    <m:sub>
                      <m:r>
                        <a:rPr lang="en-US" sz="1100" b="0" i="1" baseline="0">
                          <a:solidFill>
                            <a:sysClr val="windowText" lastClr="000000"/>
                          </a:solidFill>
                          <a:latin typeface="Cambria Math"/>
                        </a:rPr>
                        <m:t>0</m:t>
                      </m:r>
                    </m:sub>
                  </m:sSub>
                </m:oMath>
              </a14:m>
              <a:r>
                <a:rPr lang="en-US" sz="1100" baseline="0">
                  <a:solidFill>
                    <a:sysClr val="windowText" lastClr="000000"/>
                  </a:solidFill>
                </a:rPr>
                <a:t> </a:t>
              </a:r>
            </a:p>
          </xdr:txBody>
        </xdr:sp>
      </mc:Choice>
      <mc:Fallback xmlns="">
        <xdr:sp macro="" textlink="">
          <xdr:nvSpPr>
            <xdr:cNvPr id="16" name="TextBox 15"/>
            <xdr:cNvSpPr txBox="1"/>
          </xdr:nvSpPr>
          <xdr:spPr>
            <a:xfrm>
              <a:off x="3162300" y="4610100"/>
              <a:ext cx="2857500" cy="102108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ysClr val="windowText" lastClr="000000"/>
                  </a:solidFill>
                </a:rPr>
                <a:t>1. To make a C major chord</a:t>
              </a:r>
              <a:r>
                <a:rPr lang="en-US" sz="1100" b="1" baseline="0">
                  <a:solidFill>
                    <a:sysClr val="windowText" lastClr="000000"/>
                  </a:solidFill>
                </a:rPr>
                <a:t>:</a:t>
              </a:r>
            </a:p>
            <a:p>
              <a:r>
                <a:rPr lang="en-US" sz="1100" b="0" baseline="0">
                  <a:solidFill>
                    <a:sysClr val="windowText" lastClr="000000"/>
                  </a:solidFill>
                </a:rPr>
                <a:t>The frequency of the lowest "C" is 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/>
                </a:rPr>
                <a:t>𝑓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/>
                </a:rPr>
                <a:t>0.</a:t>
              </a:r>
              <a:endParaRPr lang="en-US" sz="1100" b="0" baseline="0">
                <a:solidFill>
                  <a:sysClr val="windowText" lastClr="000000"/>
                </a:solidFill>
              </a:endParaRPr>
            </a:p>
            <a:p>
              <a:pPr marL="171450" indent="-171450">
                <a:buFont typeface="Arial" panose="020B0604020202020204" pitchFamily="34" charset="0"/>
                <a:buChar char="•"/>
              </a:pPr>
              <a:r>
                <a:rPr lang="en-US" sz="1100" baseline="0">
                  <a:solidFill>
                    <a:sysClr val="windowText" lastClr="000000"/>
                  </a:solidFill>
                </a:rPr>
                <a:t>The "C" one octave above has </a:t>
              </a:r>
              <a:r>
                <a:rPr lang="en-US" sz="1100" i="0" baseline="0">
                  <a:solidFill>
                    <a:sysClr val="windowText" lastClr="000000"/>
                  </a:solidFill>
                  <a:latin typeface="Cambria Math"/>
                </a:rPr>
                <a:t>𝑓=2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/>
                </a:rPr>
                <a:t>𝑓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/>
                </a:rPr>
                <a:t>0.</a:t>
              </a:r>
              <a:endParaRPr lang="en-US" sz="1100" b="0" baseline="0">
                <a:solidFill>
                  <a:sysClr val="windowText" lastClr="000000"/>
                </a:solidFill>
              </a:endParaRPr>
            </a:p>
            <a:p>
              <a:pPr marL="171450" indent="-171450">
                <a:buFont typeface="Arial" panose="020B0604020202020204" pitchFamily="34" charset="0"/>
                <a:buChar char="•"/>
              </a:pPr>
              <a:r>
                <a:rPr lang="en-US" sz="1100" baseline="0">
                  <a:solidFill>
                    <a:sysClr val="windowText" lastClr="000000"/>
                  </a:solidFill>
                </a:rPr>
                <a:t>The "G" above the low C has 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/>
                  <a:ea typeface="+mn-ea"/>
                  <a:cs typeface="+mn-cs"/>
                </a:rPr>
                <a:t>𝑓=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∕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/>
                  <a:ea typeface="+mn-ea"/>
                  <a:cs typeface="+mn-cs"/>
                </a:rPr>
                <a:t>2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/>
                  <a:ea typeface="+mn-ea"/>
                  <a:cs typeface="+mn-cs"/>
                </a:rPr>
                <a:t>𝑓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/>
                  <a:ea typeface="+mn-ea"/>
                  <a:cs typeface="+mn-cs"/>
                </a:rPr>
                <a:t>0</a:t>
              </a:r>
              <a:r>
                <a:rPr lang="en-US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. </a:t>
              </a:r>
              <a:endParaRPr lang="en-US" sz="1100" baseline="0">
                <a:solidFill>
                  <a:sysClr val="windowText" lastClr="000000"/>
                </a:solidFill>
              </a:endParaRPr>
            </a:p>
            <a:p>
              <a:pPr marL="171450" indent="-171450">
                <a:buFont typeface="Arial" panose="020B0604020202020204" pitchFamily="34" charset="0"/>
                <a:buChar char="•"/>
              </a:pPr>
              <a:r>
                <a:rPr lang="en-US" sz="1100" baseline="0">
                  <a:solidFill>
                    <a:sysClr val="windowText" lastClr="000000"/>
                  </a:solidFill>
                </a:rPr>
                <a:t>The "E" above the low C has 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/>
                </a:rPr>
                <a:t>𝑓=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/>
                  <a:ea typeface="+mn-ea"/>
                  <a:cs typeface="+mn-cs"/>
                </a:rPr>
                <a:t>5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∕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/>
                  <a:ea typeface="+mn-ea"/>
                  <a:cs typeface="+mn-cs"/>
                </a:rPr>
                <a:t>4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/>
                </a:rPr>
                <a:t>𝑓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/>
                </a:rPr>
                <a:t>0</a:t>
              </a:r>
              <a:r>
                <a:rPr lang="en-US" sz="1100" baseline="0">
                  <a:solidFill>
                    <a:sysClr val="windowText" lastClr="000000"/>
                  </a:solidFill>
                </a:rPr>
                <a:t> </a:t>
              </a:r>
            </a:p>
          </xdr:txBody>
        </xdr:sp>
      </mc:Fallback>
    </mc:AlternateContent>
    <xdr:clientData/>
  </xdr:twoCellAnchor>
  <xdr:twoCellAnchor>
    <xdr:from>
      <xdr:col>6</xdr:col>
      <xdr:colOff>213360</xdr:colOff>
      <xdr:row>20</xdr:row>
      <xdr:rowOff>68580</xdr:rowOff>
    </xdr:from>
    <xdr:to>
      <xdr:col>6</xdr:col>
      <xdr:colOff>449580</xdr:colOff>
      <xdr:row>24</xdr:row>
      <xdr:rowOff>30480</xdr:rowOff>
    </xdr:to>
    <xdr:sp macro="" textlink="">
      <xdr:nvSpPr>
        <xdr:cNvPr id="2" name="Up Arrow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261360" y="3916680"/>
          <a:ext cx="236220" cy="693420"/>
        </a:xfrm>
        <a:prstGeom prst="upArrow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255270</xdr:colOff>
      <xdr:row>20</xdr:row>
      <xdr:rowOff>45720</xdr:rowOff>
    </xdr:from>
    <xdr:to>
      <xdr:col>10</xdr:col>
      <xdr:colOff>236220</xdr:colOff>
      <xdr:row>22</xdr:row>
      <xdr:rowOff>160020</xdr:rowOff>
    </xdr:to>
    <xdr:sp macro="" textlink="">
      <xdr:nvSpPr>
        <xdr:cNvPr id="5" name="Bent Arrow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6200000">
          <a:off x="4829175" y="2977515"/>
          <a:ext cx="480060" cy="2312670"/>
        </a:xfrm>
        <a:prstGeom prst="bentArrow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323850</xdr:colOff>
      <xdr:row>14</xdr:row>
      <xdr:rowOff>80010</xdr:rowOff>
    </xdr:from>
    <xdr:to>
      <xdr:col>11</xdr:col>
      <xdr:colOff>575310</xdr:colOff>
      <xdr:row>17</xdr:row>
      <xdr:rowOff>72390</xdr:rowOff>
    </xdr:to>
    <xdr:sp macro="" textlink="">
      <xdr:nvSpPr>
        <xdr:cNvPr id="7" name="U-Tur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10800000">
          <a:off x="5345430" y="2830830"/>
          <a:ext cx="1828800" cy="541020"/>
        </a:xfrm>
        <a:prstGeom prst="uturnArrow">
          <a:avLst>
            <a:gd name="adj1" fmla="val 25000"/>
            <a:gd name="adj2" fmla="val 25000"/>
            <a:gd name="adj3" fmla="val 25000"/>
            <a:gd name="adj4" fmla="val 43750"/>
            <a:gd name="adj5" fmla="val 73592"/>
          </a:avLst>
        </a:prstGeom>
        <a:solidFill>
          <a:schemeClr val="accent1">
            <a:lumMod val="40000"/>
            <a:lumOff val="60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5569</xdr:colOff>
      <xdr:row>1</xdr:row>
      <xdr:rowOff>161192</xdr:rowOff>
    </xdr:from>
    <xdr:to>
      <xdr:col>6</xdr:col>
      <xdr:colOff>14654</xdr:colOff>
      <xdr:row>27</xdr:row>
      <xdr:rowOff>129048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85965E07-D798-31A0-8928-51EAF47F244B}"/>
            </a:ext>
          </a:extLst>
        </xdr:cNvPr>
        <xdr:cNvGrpSpPr/>
      </xdr:nvGrpSpPr>
      <xdr:grpSpPr>
        <a:xfrm>
          <a:off x="2556955" y="531682"/>
          <a:ext cx="1102161" cy="4750063"/>
          <a:chOff x="2554216" y="530843"/>
          <a:chExt cx="1103447" cy="4731167"/>
        </a:xfrm>
      </xdr:grpSpPr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D45213F6-F39A-4546-ACB4-289526DE25AF}"/>
              </a:ext>
            </a:extLst>
          </xdr:cNvPr>
          <xdr:cNvCxnSpPr/>
        </xdr:nvCxnSpPr>
        <xdr:spPr>
          <a:xfrm>
            <a:off x="2554509" y="533774"/>
            <a:ext cx="0" cy="47252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BC27F7E2-F089-416C-8F60-C472FB471164}"/>
              </a:ext>
            </a:extLst>
          </xdr:cNvPr>
          <xdr:cNvCxnSpPr/>
        </xdr:nvCxnSpPr>
        <xdr:spPr>
          <a:xfrm>
            <a:off x="2560077" y="855633"/>
            <a:ext cx="45387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AA561046-82FE-41EF-B36E-6B598486BF56}"/>
              </a:ext>
            </a:extLst>
          </xdr:cNvPr>
          <xdr:cNvCxnSpPr/>
        </xdr:nvCxnSpPr>
        <xdr:spPr>
          <a:xfrm>
            <a:off x="2560077" y="1170795"/>
            <a:ext cx="45387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E244E1F6-1508-40A5-9389-034B10D5B1EC}"/>
              </a:ext>
            </a:extLst>
          </xdr:cNvPr>
          <xdr:cNvCxnSpPr/>
        </xdr:nvCxnSpPr>
        <xdr:spPr>
          <a:xfrm>
            <a:off x="2560077" y="1485958"/>
            <a:ext cx="109758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F3A3B61F-F933-4107-B5D0-841D95765AF6}"/>
              </a:ext>
            </a:extLst>
          </xdr:cNvPr>
          <xdr:cNvCxnSpPr/>
        </xdr:nvCxnSpPr>
        <xdr:spPr>
          <a:xfrm>
            <a:off x="2560077" y="1799624"/>
            <a:ext cx="45387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CD1913C5-DE35-48A6-B682-2DBF1C91C7E0}"/>
              </a:ext>
            </a:extLst>
          </xdr:cNvPr>
          <xdr:cNvCxnSpPr/>
        </xdr:nvCxnSpPr>
        <xdr:spPr>
          <a:xfrm>
            <a:off x="2560077" y="2114786"/>
            <a:ext cx="45387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D89DEDF0-AD4F-4CA6-9A8C-BD72FB03699F}"/>
              </a:ext>
            </a:extLst>
          </xdr:cNvPr>
          <xdr:cNvCxnSpPr/>
        </xdr:nvCxnSpPr>
        <xdr:spPr>
          <a:xfrm>
            <a:off x="2560077" y="2429948"/>
            <a:ext cx="45387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FDD76960-AC16-489C-A65F-B8DB482CCA3A}"/>
              </a:ext>
            </a:extLst>
          </xdr:cNvPr>
          <xdr:cNvCxnSpPr/>
        </xdr:nvCxnSpPr>
        <xdr:spPr>
          <a:xfrm>
            <a:off x="2560077" y="2743615"/>
            <a:ext cx="1094655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4B17A222-0ACA-4EDD-9E8E-CBE863854690}"/>
              </a:ext>
            </a:extLst>
          </xdr:cNvPr>
          <xdr:cNvCxnSpPr/>
        </xdr:nvCxnSpPr>
        <xdr:spPr>
          <a:xfrm>
            <a:off x="2560077" y="3058777"/>
            <a:ext cx="45387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406B5D23-C714-4AAF-96E0-30088C264F3B}"/>
              </a:ext>
            </a:extLst>
          </xdr:cNvPr>
          <xdr:cNvCxnSpPr/>
        </xdr:nvCxnSpPr>
        <xdr:spPr>
          <a:xfrm>
            <a:off x="2560077" y="3373940"/>
            <a:ext cx="45387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8B35770C-940B-40FC-A971-624198E1E4E3}"/>
              </a:ext>
            </a:extLst>
          </xdr:cNvPr>
          <xdr:cNvCxnSpPr/>
        </xdr:nvCxnSpPr>
        <xdr:spPr>
          <a:xfrm>
            <a:off x="2560077" y="3689103"/>
            <a:ext cx="1088794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1BECE928-991E-4B53-90BB-1E4E3AC0F8CD}"/>
              </a:ext>
            </a:extLst>
          </xdr:cNvPr>
          <xdr:cNvCxnSpPr/>
        </xdr:nvCxnSpPr>
        <xdr:spPr>
          <a:xfrm>
            <a:off x="2560077" y="4002769"/>
            <a:ext cx="45387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3F9CDEE9-77B5-4738-85DF-A3EA13B853F6}"/>
              </a:ext>
            </a:extLst>
          </xdr:cNvPr>
          <xdr:cNvCxnSpPr/>
        </xdr:nvCxnSpPr>
        <xdr:spPr>
          <a:xfrm>
            <a:off x="2560077" y="4317931"/>
            <a:ext cx="45387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8144A906-4557-4269-A1B3-DF32A61579DA}"/>
              </a:ext>
            </a:extLst>
          </xdr:cNvPr>
          <xdr:cNvCxnSpPr/>
        </xdr:nvCxnSpPr>
        <xdr:spPr>
          <a:xfrm>
            <a:off x="2560077" y="4633093"/>
            <a:ext cx="45387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EFA9B227-2228-4C5D-B1E1-F0C4148E386F}"/>
              </a:ext>
            </a:extLst>
          </xdr:cNvPr>
          <xdr:cNvCxnSpPr/>
        </xdr:nvCxnSpPr>
        <xdr:spPr>
          <a:xfrm>
            <a:off x="2560077" y="4946759"/>
            <a:ext cx="108106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8AD6897D-FC99-41F7-8B94-6794CEF1BA2B}"/>
              </a:ext>
            </a:extLst>
          </xdr:cNvPr>
          <xdr:cNvCxnSpPr/>
        </xdr:nvCxnSpPr>
        <xdr:spPr>
          <a:xfrm>
            <a:off x="2563008" y="540470"/>
            <a:ext cx="1085863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4F3645B8-1C9B-46A6-B5A0-0CC0AB7D1513}"/>
              </a:ext>
            </a:extLst>
          </xdr:cNvPr>
          <xdr:cNvCxnSpPr/>
        </xdr:nvCxnSpPr>
        <xdr:spPr>
          <a:xfrm>
            <a:off x="2554216" y="5261916"/>
            <a:ext cx="46711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0960794D-1B00-4480-B3F5-0E3104CC5DC5}"/>
              </a:ext>
            </a:extLst>
          </xdr:cNvPr>
          <xdr:cNvCxnSpPr/>
        </xdr:nvCxnSpPr>
        <xdr:spPr>
          <a:xfrm>
            <a:off x="3641138" y="530843"/>
            <a:ext cx="0" cy="4597124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Straight Connector 85">
            <a:extLst>
              <a:ext uri="{FF2B5EF4-FFF2-40B4-BE49-F238E27FC236}">
                <a16:creationId xmlns:a16="http://schemas.microsoft.com/office/drawing/2014/main" id="{6BA65B85-03A3-400C-B4D9-D5BBAADD4139}"/>
              </a:ext>
            </a:extLst>
          </xdr:cNvPr>
          <xdr:cNvCxnSpPr/>
        </xdr:nvCxnSpPr>
        <xdr:spPr>
          <a:xfrm>
            <a:off x="3010763" y="5125602"/>
            <a:ext cx="622623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Straight Connector 86">
            <a:extLst>
              <a:ext uri="{FF2B5EF4-FFF2-40B4-BE49-F238E27FC236}">
                <a16:creationId xmlns:a16="http://schemas.microsoft.com/office/drawing/2014/main" id="{CA919905-4254-4889-B30F-D4CD9446537D}"/>
              </a:ext>
            </a:extLst>
          </xdr:cNvPr>
          <xdr:cNvCxnSpPr/>
        </xdr:nvCxnSpPr>
        <xdr:spPr>
          <a:xfrm>
            <a:off x="3020571" y="5120877"/>
            <a:ext cx="0" cy="141133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="145" zoomScaleNormal="145" workbookViewId="0">
      <selection activeCell="B11" sqref="B11"/>
    </sheetView>
  </sheetViews>
  <sheetFormatPr defaultRowHeight="14.4" x14ac:dyDescent="0.55000000000000004"/>
  <cols>
    <col min="3" max="3" width="8.89453125" customWidth="1"/>
    <col min="4" max="4" width="8.62890625" customWidth="1"/>
    <col min="5" max="5" width="6.41796875" customWidth="1"/>
    <col min="6" max="6" width="8.68359375" customWidth="1"/>
    <col min="7" max="7" width="8.89453125" style="1"/>
    <col min="8" max="8" width="11" style="1" customWidth="1"/>
    <col min="9" max="9" width="8.89453125" style="4"/>
    <col min="10" max="10" width="14.1015625" style="1" customWidth="1"/>
  </cols>
  <sheetData>
    <row r="1" spans="1:10" ht="29.1" thickBot="1" x14ac:dyDescent="0.6">
      <c r="A1" s="3">
        <f>2^(1/12)</f>
        <v>1.0594630943592953</v>
      </c>
      <c r="G1" s="5" t="s">
        <v>15</v>
      </c>
      <c r="H1" s="10" t="s">
        <v>14</v>
      </c>
      <c r="I1" s="7" t="s">
        <v>13</v>
      </c>
      <c r="J1" s="5" t="s">
        <v>16</v>
      </c>
    </row>
    <row r="2" spans="1:10" x14ac:dyDescent="0.55000000000000004">
      <c r="D2" s="13"/>
      <c r="E2" s="13"/>
      <c r="F2" s="13"/>
      <c r="G2" s="6" t="s">
        <v>12</v>
      </c>
      <c r="H2" s="11" t="s">
        <v>12</v>
      </c>
      <c r="I2" s="8"/>
      <c r="J2" s="6" t="s">
        <v>12</v>
      </c>
    </row>
    <row r="3" spans="1:10" x14ac:dyDescent="0.55000000000000004">
      <c r="D3" s="13"/>
      <c r="E3" s="13"/>
      <c r="F3" s="13" t="s">
        <v>0</v>
      </c>
      <c r="G3" s="1">
        <v>130.81278</v>
      </c>
      <c r="H3" s="12">
        <v>130.81278</v>
      </c>
      <c r="I3" s="9">
        <v>1</v>
      </c>
      <c r="J3" s="1">
        <v>130.81278</v>
      </c>
    </row>
    <row r="4" spans="1:10" x14ac:dyDescent="0.55000000000000004">
      <c r="D4" s="13"/>
      <c r="E4" s="14"/>
      <c r="F4" s="15" t="s">
        <v>1</v>
      </c>
      <c r="H4" s="12"/>
      <c r="I4" s="9"/>
      <c r="J4" s="1">
        <f t="shared" ref="J4:J15" si="0">J3*$A$1</f>
        <v>138.59131268054173</v>
      </c>
    </row>
    <row r="5" spans="1:10" x14ac:dyDescent="0.55000000000000004">
      <c r="A5" s="2"/>
      <c r="D5" s="13"/>
      <c r="E5" s="13"/>
      <c r="F5" s="13" t="s">
        <v>2</v>
      </c>
      <c r="H5" s="12">
        <f>H10*3/4</f>
        <v>147.1643775</v>
      </c>
      <c r="I5" s="9">
        <v>3</v>
      </c>
      <c r="J5" s="1">
        <f t="shared" si="0"/>
        <v>146.83238098384339</v>
      </c>
    </row>
    <row r="6" spans="1:10" x14ac:dyDescent="0.55000000000000004">
      <c r="D6" s="13"/>
      <c r="E6" s="13"/>
      <c r="F6" s="15" t="s">
        <v>3</v>
      </c>
      <c r="H6" s="12"/>
      <c r="I6" s="9"/>
      <c r="J6" s="1">
        <f t="shared" si="0"/>
        <v>155.56348870928568</v>
      </c>
    </row>
    <row r="7" spans="1:10" x14ac:dyDescent="0.55000000000000004">
      <c r="D7" s="13"/>
      <c r="E7" s="13"/>
      <c r="F7" s="13" t="s">
        <v>4</v>
      </c>
      <c r="G7" s="1">
        <f>G3*5/4</f>
        <v>163.515975</v>
      </c>
      <c r="H7" s="12">
        <f>H12*3/4</f>
        <v>165.5599246875</v>
      </c>
      <c r="I7" s="9">
        <v>5</v>
      </c>
      <c r="J7" s="1">
        <f t="shared" si="0"/>
        <v>164.81377511726711</v>
      </c>
    </row>
    <row r="8" spans="1:10" x14ac:dyDescent="0.55000000000000004">
      <c r="D8" s="13"/>
      <c r="E8" s="13"/>
      <c r="F8" s="13" t="s">
        <v>5</v>
      </c>
      <c r="H8" s="12"/>
      <c r="I8" s="9"/>
      <c r="J8" s="1">
        <f t="shared" si="0"/>
        <v>174.61411217877685</v>
      </c>
    </row>
    <row r="9" spans="1:10" x14ac:dyDescent="0.55000000000000004">
      <c r="D9" s="13"/>
      <c r="E9" s="13"/>
      <c r="F9" s="15" t="s">
        <v>6</v>
      </c>
      <c r="H9" s="12">
        <f>H14*3/4</f>
        <v>186.25491527343749</v>
      </c>
      <c r="I9" s="9">
        <v>7</v>
      </c>
      <c r="J9" s="1">
        <f t="shared" si="0"/>
        <v>184.99720760772803</v>
      </c>
    </row>
    <row r="10" spans="1:10" x14ac:dyDescent="0.55000000000000004">
      <c r="D10" s="13"/>
      <c r="E10" s="13"/>
      <c r="F10" s="13" t="s">
        <v>7</v>
      </c>
      <c r="G10" s="1">
        <f>G3*3/2</f>
        <v>196.21917000000002</v>
      </c>
      <c r="H10" s="12">
        <f>H3*3/2</f>
        <v>196.21917000000002</v>
      </c>
      <c r="I10" s="9">
        <v>2</v>
      </c>
      <c r="J10" s="1">
        <f t="shared" si="0"/>
        <v>195.99771401991251</v>
      </c>
    </row>
    <row r="11" spans="1:10" x14ac:dyDescent="0.55000000000000004">
      <c r="D11" s="13"/>
      <c r="E11" s="13"/>
      <c r="F11" s="15" t="s">
        <v>8</v>
      </c>
      <c r="H11" s="12">
        <f>H16*3/4</f>
        <v>209.53677968261718</v>
      </c>
      <c r="I11" s="9">
        <v>9</v>
      </c>
      <c r="J11" s="1">
        <f t="shared" si="0"/>
        <v>207.65234458288475</v>
      </c>
    </row>
    <row r="12" spans="1:10" x14ac:dyDescent="0.55000000000000004">
      <c r="D12" s="13"/>
      <c r="E12" s="13"/>
      <c r="F12" s="13" t="s">
        <v>9</v>
      </c>
      <c r="H12" s="12">
        <f>H5*3/2</f>
        <v>220.74656625</v>
      </c>
      <c r="I12" s="9">
        <v>4</v>
      </c>
      <c r="J12" s="1">
        <f t="shared" si="0"/>
        <v>219.99999554274572</v>
      </c>
    </row>
    <row r="13" spans="1:10" x14ac:dyDescent="0.55000000000000004">
      <c r="D13" s="13"/>
      <c r="E13" s="13"/>
      <c r="F13" s="15" t="s">
        <v>10</v>
      </c>
      <c r="H13" s="12">
        <f>H18*3/4</f>
        <v>235.72887714294433</v>
      </c>
      <c r="I13" s="9">
        <v>11</v>
      </c>
      <c r="J13" s="1">
        <f t="shared" si="0"/>
        <v>233.08187603674855</v>
      </c>
    </row>
    <row r="14" spans="1:10" x14ac:dyDescent="0.55000000000000004">
      <c r="D14" s="13"/>
      <c r="E14" s="13"/>
      <c r="F14" s="13" t="s">
        <v>11</v>
      </c>
      <c r="H14" s="12">
        <f>H7*3/2</f>
        <v>248.33988703124999</v>
      </c>
      <c r="I14" s="9">
        <v>6</v>
      </c>
      <c r="J14" s="1">
        <f t="shared" si="0"/>
        <v>246.94164562496331</v>
      </c>
    </row>
    <row r="15" spans="1:10" x14ac:dyDescent="0.55000000000000004">
      <c r="D15" s="13"/>
      <c r="E15" s="13"/>
      <c r="F15" s="13" t="s">
        <v>0</v>
      </c>
      <c r="G15" s="1">
        <f>2*G3</f>
        <v>261.62556000000001</v>
      </c>
      <c r="H15" s="12">
        <f>H20*3/4</f>
        <v>265.19498678581238</v>
      </c>
      <c r="I15" s="9">
        <v>13</v>
      </c>
      <c r="J15" s="1">
        <f t="shared" si="0"/>
        <v>261.62556000000018</v>
      </c>
    </row>
    <row r="16" spans="1:10" x14ac:dyDescent="0.55000000000000004">
      <c r="D16" s="13"/>
      <c r="E16" s="13"/>
      <c r="F16" s="15" t="s">
        <v>1</v>
      </c>
      <c r="H16" s="12">
        <f>H9*3/2</f>
        <v>279.38237291015622</v>
      </c>
      <c r="I16" s="9">
        <v>8</v>
      </c>
    </row>
    <row r="17" spans="4:9" x14ac:dyDescent="0.55000000000000004">
      <c r="D17" s="13"/>
      <c r="E17" s="13"/>
      <c r="F17" s="13" t="s">
        <v>2</v>
      </c>
      <c r="H17" s="12"/>
      <c r="I17" s="9"/>
    </row>
    <row r="18" spans="4:9" x14ac:dyDescent="0.55000000000000004">
      <c r="D18" s="13"/>
      <c r="E18" s="13"/>
      <c r="F18" s="15" t="s">
        <v>3</v>
      </c>
      <c r="H18" s="12">
        <f>H11*3/2</f>
        <v>314.30516952392577</v>
      </c>
      <c r="I18" s="9">
        <v>10</v>
      </c>
    </row>
    <row r="19" spans="4:9" x14ac:dyDescent="0.55000000000000004">
      <c r="D19" s="13"/>
      <c r="E19" s="13"/>
      <c r="F19" s="13" t="s">
        <v>4</v>
      </c>
      <c r="H19" s="12"/>
      <c r="I19" s="9"/>
    </row>
    <row r="20" spans="4:9" x14ac:dyDescent="0.55000000000000004">
      <c r="D20" s="13"/>
      <c r="E20" s="13"/>
      <c r="F20" s="13" t="s">
        <v>5</v>
      </c>
      <c r="H20" s="12">
        <f>H13*3/2</f>
        <v>353.59331571441646</v>
      </c>
      <c r="I20" s="9">
        <v>12</v>
      </c>
    </row>
    <row r="21" spans="4:9" x14ac:dyDescent="0.55000000000000004">
      <c r="D21" s="13"/>
      <c r="E21" s="13"/>
      <c r="F21" s="15" t="s">
        <v>6</v>
      </c>
    </row>
    <row r="22" spans="4:9" x14ac:dyDescent="0.55000000000000004">
      <c r="D22" s="13"/>
      <c r="E22" s="13"/>
      <c r="F22" s="13" t="s">
        <v>7</v>
      </c>
    </row>
    <row r="23" spans="4:9" x14ac:dyDescent="0.55000000000000004">
      <c r="D23" s="13"/>
      <c r="E23" s="13"/>
      <c r="F23" s="15" t="s">
        <v>8</v>
      </c>
    </row>
    <row r="24" spans="4:9" x14ac:dyDescent="0.55000000000000004">
      <c r="D24" s="13"/>
      <c r="E24" s="13"/>
      <c r="F24" s="13" t="s">
        <v>9</v>
      </c>
    </row>
    <row r="25" spans="4:9" x14ac:dyDescent="0.55000000000000004">
      <c r="D25" s="13"/>
      <c r="E25" s="13"/>
      <c r="F25" s="15" t="s">
        <v>10</v>
      </c>
    </row>
    <row r="26" spans="4:9" x14ac:dyDescent="0.55000000000000004">
      <c r="D26" s="13"/>
      <c r="E26" s="13"/>
      <c r="F26" s="13" t="s">
        <v>11</v>
      </c>
    </row>
    <row r="27" spans="4:9" x14ac:dyDescent="0.55000000000000004">
      <c r="D27" s="13"/>
      <c r="E27" s="13"/>
      <c r="F27" s="13" t="s">
        <v>0</v>
      </c>
    </row>
    <row r="28" spans="4:9" x14ac:dyDescent="0.55000000000000004">
      <c r="D28" s="13"/>
      <c r="E28" s="13"/>
      <c r="F28" s="13"/>
    </row>
    <row r="29" spans="4:9" x14ac:dyDescent="0.55000000000000004">
      <c r="D29" s="13"/>
      <c r="F29" s="13"/>
    </row>
    <row r="30" spans="4:9" x14ac:dyDescent="0.55000000000000004">
      <c r="E30" s="1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Richmond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Trawick</dc:creator>
  <cp:lastModifiedBy>Trawick, Matt</cp:lastModifiedBy>
  <dcterms:created xsi:type="dcterms:W3CDTF">2015-08-30T18:58:02Z</dcterms:created>
  <dcterms:modified xsi:type="dcterms:W3CDTF">2024-12-04T00:39:37Z</dcterms:modified>
</cp:coreProperties>
</file>