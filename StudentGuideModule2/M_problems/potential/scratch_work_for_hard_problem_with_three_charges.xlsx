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rawick\Box\github\132\StudentGuideModule2\M_problems\potential\"/>
    </mc:Choice>
  </mc:AlternateContent>
  <xr:revisionPtr revIDLastSave="0" documentId="8_{6126AC12-F33A-4433-B585-72FE266E0017}" xr6:coauthVersionLast="47" xr6:coauthVersionMax="47" xr10:uidLastSave="{00000000-0000-0000-0000-000000000000}"/>
  <bookViews>
    <workbookView xWindow="-96" yWindow="-96" windowWidth="23232" windowHeight="13872" xr2:uid="{F161C81F-7CE3-4023-9446-1B336071E5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4" i="1" l="1"/>
  <c r="B14" i="1"/>
  <c r="B15" i="1" s="1"/>
  <c r="D16" i="1" s="1"/>
  <c r="C7" i="1"/>
  <c r="B7" i="1"/>
  <c r="B9" i="1" l="1"/>
  <c r="D10" i="1" s="1"/>
  <c r="D18" i="1" s="1"/>
  <c r="D19" i="1" s="1"/>
</calcChain>
</file>

<file path=xl/sharedStrings.xml><?xml version="1.0" encoding="utf-8"?>
<sst xmlns="http://schemas.openxmlformats.org/spreadsheetml/2006/main" count="17" uniqueCount="17">
  <si>
    <t>Q1</t>
  </si>
  <si>
    <t>x</t>
  </si>
  <si>
    <t>Q2</t>
  </si>
  <si>
    <t>charge</t>
  </si>
  <si>
    <t>q3</t>
  </si>
  <si>
    <t>m</t>
  </si>
  <si>
    <t>V at x=0</t>
  </si>
  <si>
    <t>ke</t>
  </si>
  <si>
    <t>Total V at x=0</t>
  </si>
  <si>
    <t>U at x=0</t>
  </si>
  <si>
    <t>sqrt(2U/m)</t>
  </si>
  <si>
    <t xml:space="preserve">Equilibrium </t>
  </si>
  <si>
    <t>V at x=+4</t>
  </si>
  <si>
    <t>V_tot at eq</t>
  </si>
  <si>
    <t>Ui-Uf</t>
  </si>
  <si>
    <t>U at eq</t>
  </si>
  <si>
    <t>r at 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</si>
</sst>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E+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01A17-D609-446A-8362-0E04E1E13141}">
  <dimension ref="A2:D19"/>
  <sheetViews>
    <sheetView tabSelected="1" zoomScale="145" zoomScaleNormal="145" workbookViewId="0">
      <selection activeCell="H4" sqref="H4"/>
    </sheetView>
  </sheetViews>
  <sheetFormatPr defaultRowHeight="15" x14ac:dyDescent="0.25"/>
  <cols>
    <col min="1" max="1" width="12.42578125" bestFit="1" customWidth="1"/>
    <col min="2" max="3" width="14.140625" style="1" bestFit="1" customWidth="1"/>
    <col min="4" max="4" width="14.7109375" style="1" customWidth="1"/>
    <col min="8" max="8" width="12" bestFit="1" customWidth="1"/>
  </cols>
  <sheetData>
    <row r="2" spans="1:4" x14ac:dyDescent="0.25">
      <c r="B2" s="1" t="s">
        <v>0</v>
      </c>
      <c r="C2" s="1" t="s">
        <v>2</v>
      </c>
      <c r="D2" s="1" t="s">
        <v>4</v>
      </c>
    </row>
    <row r="3" spans="1:4" x14ac:dyDescent="0.25">
      <c r="A3" t="s">
        <v>1</v>
      </c>
      <c r="B3" s="1">
        <v>-0.12</v>
      </c>
      <c r="C3" s="1">
        <v>0.12</v>
      </c>
    </row>
    <row r="4" spans="1:4" x14ac:dyDescent="0.25">
      <c r="A4" t="s">
        <v>3</v>
      </c>
      <c r="B4" s="1">
        <v>4.4999999999999999E-8</v>
      </c>
      <c r="C4" s="1">
        <v>5.0000000000000001E-9</v>
      </c>
      <c r="D4" s="1">
        <v>1.67E-9</v>
      </c>
    </row>
    <row r="5" spans="1:4" x14ac:dyDescent="0.25">
      <c r="A5" t="s">
        <v>5</v>
      </c>
      <c r="D5" s="1">
        <v>2.8E-11</v>
      </c>
    </row>
    <row r="6" spans="1:4" x14ac:dyDescent="0.25">
      <c r="A6" t="s">
        <v>7</v>
      </c>
      <c r="B6" s="1">
        <v>9000000000</v>
      </c>
      <c r="C6" s="1">
        <v>9000000000</v>
      </c>
    </row>
    <row r="7" spans="1:4" x14ac:dyDescent="0.25">
      <c r="A7" t="s">
        <v>6</v>
      </c>
      <c r="B7" s="1">
        <f>ABS(B6*B4/B3)</f>
        <v>3375</v>
      </c>
      <c r="C7" s="1">
        <f>ABS(C6*C4/C3)</f>
        <v>375</v>
      </c>
    </row>
    <row r="9" spans="1:4" x14ac:dyDescent="0.25">
      <c r="A9" t="s">
        <v>8</v>
      </c>
      <c r="B9" s="1">
        <f>B7+C7</f>
        <v>3750</v>
      </c>
    </row>
    <row r="10" spans="1:4" x14ac:dyDescent="0.25">
      <c r="A10" t="s">
        <v>9</v>
      </c>
      <c r="D10" s="1">
        <f>B9*D4</f>
        <v>6.2624999999999998E-6</v>
      </c>
    </row>
    <row r="12" spans="1:4" x14ac:dyDescent="0.25">
      <c r="A12" t="s">
        <v>11</v>
      </c>
      <c r="B12" s="1">
        <v>6</v>
      </c>
    </row>
    <row r="13" spans="1:4" x14ac:dyDescent="0.25">
      <c r="A13" t="s">
        <v>16</v>
      </c>
      <c r="B13" s="1">
        <v>0.18</v>
      </c>
      <c r="C13" s="1">
        <v>0.06</v>
      </c>
    </row>
    <row r="14" spans="1:4" x14ac:dyDescent="0.25">
      <c r="A14" t="s">
        <v>12</v>
      </c>
      <c r="B14" s="1">
        <f>B6*B4/B13</f>
        <v>2250</v>
      </c>
      <c r="C14" s="1">
        <f>C6*C4/C13</f>
        <v>750</v>
      </c>
    </row>
    <row r="15" spans="1:4" x14ac:dyDescent="0.25">
      <c r="A15" t="s">
        <v>13</v>
      </c>
      <c r="B15" s="1">
        <f>B14+C14</f>
        <v>3000</v>
      </c>
    </row>
    <row r="16" spans="1:4" x14ac:dyDescent="0.25">
      <c r="A16" t="s">
        <v>15</v>
      </c>
      <c r="D16" s="1">
        <f>B15*D4</f>
        <v>5.0100000000000003E-6</v>
      </c>
    </row>
    <row r="18" spans="1:4" x14ac:dyDescent="0.25">
      <c r="A18" t="s">
        <v>14</v>
      </c>
      <c r="D18" s="1">
        <f>D10-D16</f>
        <v>1.2524999999999994E-6</v>
      </c>
    </row>
    <row r="19" spans="1:4" x14ac:dyDescent="0.25">
      <c r="A19" t="s">
        <v>10</v>
      </c>
      <c r="D19" s="1">
        <f>SQRT(2*D18/D5)</f>
        <v>299.10581023157283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Richmond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Trawick, Matt</dc:creator>
  <cp:lastModifiedBy>Trawick, Matt</cp:lastModifiedBy>
  <dcterms:created xsi:type="dcterms:W3CDTF">2026-09-22T02:48:01Z</dcterms:created>
  <dcterms:modified xsi:type="dcterms:W3CDTF">2026-09-22T13:41:29Z</dcterms:modified>
</cp:coreProperties>
</file>